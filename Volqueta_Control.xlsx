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Resumen" sheetId="1" state="visible" r:id="rId3"/>
    <sheet name="💸 Gastos" sheetId="2" state="visible" r:id="rId4"/>
    <sheet name="💵 Ingresos" sheetId="3" state="visible" r:id="rId5"/>
    <sheet name="📈 Recuperación" sheetId="4" state="visible" r:id="rId6"/>
    <sheet name="📋 Cómo us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<sst xmlns="http://schemas.openxmlformats.org/spreadsheetml/2006/main" count="94" uniqueCount="84">
  <si>
    <t xml:space="preserve">🚛  VOLQUETA INTERNATIONAL 8900 — PANEL DE CONTROL</t>
  </si>
  <si>
    <t xml:space="preserve">── INVERSIÓN INICIAL ──</t>
  </si>
  <si>
    <t xml:space="preserve">Compra de la volqueta</t>
  </si>
  <si>
    <t xml:space="preserve">Reparación y puesta a punto</t>
  </si>
  <si>
    <t xml:space="preserve">TOTAL INVERTIDO</t>
  </si>
  <si>
    <t xml:space="preserve">── MES ACTUAL ──</t>
  </si>
  <si>
    <t xml:space="preserve">Subtotal bruto de viajes</t>
  </si>
  <si>
    <t xml:space="preserve">Total neto (después del conductor)</t>
  </si>
  <si>
    <t xml:space="preserve">Total gastos del mes</t>
  </si>
  <si>
    <t xml:space="preserve">Ganancia / Pérdida del mes</t>
  </si>
  <si>
    <t xml:space="preserve">── RECUPERACIÓN DE INVERSIÓN ──</t>
  </si>
  <si>
    <t xml:space="preserve">Total recuperado hasta hoy</t>
  </si>
  <si>
    <t xml:space="preserve">Falta por recuperar</t>
  </si>
  <si>
    <t xml:space="preserve">% recuperado</t>
  </si>
  <si>
    <t xml:space="preserve">💸  REGISTRO DE GASTOS</t>
  </si>
  <si>
    <t xml:space="preserve">TOTAL GASTOS DEL MES (incluye salario conductor)</t>
  </si>
  <si>
    <t xml:space="preserve">Fecha</t>
  </si>
  <si>
    <t xml:space="preserve">Descripción del gasto</t>
  </si>
  <si>
    <t xml:space="preserve">Categoría</t>
  </si>
  <si>
    <t xml:space="preserve">Valor ($)</t>
  </si>
  <si>
    <t xml:space="preserve">Salario conductor (fijo — no borrar)</t>
  </si>
  <si>
    <t xml:space="preserve">15/05/2025</t>
  </si>
  <si>
    <t xml:space="preserve">Cambio de aceite motor</t>
  </si>
  <si>
    <t xml:space="preserve">Mantenimiento</t>
  </si>
  <si>
    <t xml:space="preserve">18/05/2025</t>
  </si>
  <si>
    <t xml:space="preserve">Pastillas de freno</t>
  </si>
  <si>
    <t xml:space="preserve">Reparación</t>
  </si>
  <si>
    <t xml:space="preserve">20/05/2025</t>
  </si>
  <si>
    <t xml:space="preserve">ACPM 80 galones</t>
  </si>
  <si>
    <t xml:space="preserve">Combustible</t>
  </si>
  <si>
    <t xml:space="preserve">22/05/2025</t>
  </si>
  <si>
    <t xml:space="preserve">Revisión técnico-mecánica</t>
  </si>
  <si>
    <t xml:space="preserve">Documentos</t>
  </si>
  <si>
    <t xml:space="preserve">💵  REGISTRO DE VIAJES E INGRESOS</t>
  </si>
  <si>
    <t xml:space="preserve">Subtotal bruto (suma de todos los viajes)</t>
  </si>
  <si>
    <t xml:space="preserve">  -  Comisión conductor (3%)</t>
  </si>
  <si>
    <t xml:space="preserve">  -  Salario conductor</t>
  </si>
  <si>
    <t xml:space="preserve">TOTAL NETO (lo que queda para ti)</t>
  </si>
  <si>
    <t xml:space="preserve">Total viajes registrados este mes</t>
  </si>
  <si>
    <t xml:space="preserve">Destino / Ruta</t>
  </si>
  <si>
    <t xml:space="preserve">Material cargado</t>
  </si>
  <si>
    <t xml:space="preserve">Peso (ton)</t>
  </si>
  <si>
    <t xml:space="preserve">Observaciones</t>
  </si>
  <si>
    <t xml:space="preserve">02/05/2025</t>
  </si>
  <si>
    <t xml:space="preserve">Cantera El Moral → Obra Av. 68</t>
  </si>
  <si>
    <t xml:space="preserve">Asfalto</t>
  </si>
  <si>
    <t xml:space="preserve">18</t>
  </si>
  <si>
    <t xml:space="preserve">05/05/2025</t>
  </si>
  <si>
    <t xml:space="preserve">Planta → Vía Tunja</t>
  </si>
  <si>
    <t xml:space="preserve">Agregado triturado</t>
  </si>
  <si>
    <t xml:space="preserve">20</t>
  </si>
  <si>
    <t xml:space="preserve">08/05/2025</t>
  </si>
  <si>
    <t xml:space="preserve">Planta → Sogamoso centro</t>
  </si>
  <si>
    <t xml:space="preserve">Gravilla</t>
  </si>
  <si>
    <t xml:space="preserve">16</t>
  </si>
  <si>
    <t xml:space="preserve">Viaje corto</t>
  </si>
  <si>
    <t xml:space="preserve">📈  RECUPERACIÓN DE INVERSIÓN</t>
  </si>
  <si>
    <t xml:space="preserve">Total invertido</t>
  </si>
  <si>
    <t xml:space="preserve">Total recuperado</t>
  </si>
  <si>
    <t xml:space="preserve">Mes</t>
  </si>
  <si>
    <t xml:space="preserve">Ingresos</t>
  </si>
  <si>
    <t xml:space="preserve">Gastos</t>
  </si>
  <si>
    <t xml:space="preserve">Ganancia neta</t>
  </si>
  <si>
    <t xml:space="preserve">Ganancia acumulada</t>
  </si>
  <si>
    <t xml:space="preserve">Mayo 2025</t>
  </si>
  <si>
    <t xml:space="preserve">📋  CÓMO USAR ESTE ARCHIVO</t>
  </si>
  <si>
    <t xml:space="preserve">PESTAÑAS</t>
  </si>
  <si>
    <t xml:space="preserve">📊 Resumen → Tu panel principal. Solo mira, no escribas aquí.</t>
  </si>
  <si>
    <t xml:space="preserve">💸 Gastos → Registra cada gasto cuando ocurra.</t>
  </si>
  <si>
    <t xml:space="preserve">💵 Ingresos → Registra los viajes a fin de mes con los recibos.</t>
  </si>
  <si>
    <t xml:space="preserve">📈 Recuperación → Agrega una fila nueva cada mes.</t>
  </si>
  <si>
    <t xml:space="preserve">CÓMO REGISTRAR UN GASTO</t>
  </si>
  <si>
    <t xml:space="preserve">1. Ve a la pestaña 💸 Gastos.</t>
  </si>
  <si>
    <t xml:space="preserve">2. Agrega una fila nueva: fecha, descripción, categoría y valor.</t>
  </si>
  <si>
    <t xml:space="preserve">3. El total se actualiza solo arriba.</t>
  </si>
  <si>
    <t xml:space="preserve">CÓMO REGISTRAR VIAJES (A FIN DE MES)</t>
  </si>
  <si>
    <t xml:space="preserve">1. Recibe los recibos del conductor.</t>
  </si>
  <si>
    <t xml:space="preserve">2. Ve a 💵 Ingresos y agrega un viaje por fila.</t>
  </si>
  <si>
    <t xml:space="preserve">3. El total y la comisión se calculan solos.</t>
  </si>
  <si>
    <t xml:space="preserve">CIERRE DE MES</t>
  </si>
  <si>
    <t xml:space="preserve">1. Confirma que todos los gastos estén en 💸 Gastos.</t>
  </si>
  <si>
    <t xml:space="preserve">2. Ingresa todos los viajes en 💵 Ingresos.</t>
  </si>
  <si>
    <t xml:space="preserve">3. Ve a 📈 Recuperación y agrega una fila con el mes y los totales.</t>
  </si>
  <si>
    <t xml:space="preserve">4. El % de recuperación se actualiza solo.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</si>
</sst>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"/>
    <numFmt numFmtId="167" formatCode="0.0%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5F5E3"/>
      </patternFill>
    </fill>
    <fill>
      <patternFill patternType="solid">
        <fgColor rgb="FFFFFFFF"/>
        <bgColor rgb="FFF2F2F2"/>
      </patternFill>
    </fill>
    <fill>
      <patternFill patternType="solid">
        <fgColor rgb="FF27AE60"/>
        <bgColor rgb="FF008080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F2F2F2"/>
      </patternFill>
    </fill>
    <fill>
      <patternFill patternType="solid">
        <fgColor rgb="FFFFF9C4"/>
        <bgColor rgb="FFFFFF99"/>
      </patternFill>
    </fill>
    <fill>
      <patternFill patternType="solid">
        <fgColor rgb="FFE74C3C"/>
        <bgColor rgb="FFFF8080"/>
      </patternFill>
    </fill>
    <fill>
      <patternFill patternType="solid">
        <fgColor rgb="FF7B241C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1E5631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1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E74C3C"/>
      <rgbColor rgb="FF555555"/>
      <rgbColor rgb="FF969696"/>
      <rgbColor rgb="FF1F3864"/>
      <rgbColor rgb="FF27AE60"/>
      <rgbColor rgb="FF003300"/>
      <rgbColor rgb="FF333300"/>
      <rgbColor rgb="FF7B241C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2"/>
  </cols>
  <sheetData>
    <row r="1" customFormat="false" ht="39.75" hidden="false" customHeight="true" outlineLevel="0" collapsed="false">
      <c r="A1" s="2" t="s">
        <v>0</v>
      </c>
      <c r="B1" s="2"/>
    </row>
    <row r="3" customFormat="false" ht="25.5" hidden="false" customHeight="true" outlineLevel="0" collapsed="false">
      <c r="A3" s="3" t="s">
        <v>1</v>
      </c>
      <c r="B3" s="4"/>
    </row>
    <row r="4" customFormat="false" ht="21.75" hidden="false" customHeight="true" outlineLevel="0" collapsed="false">
      <c r="A4" s="5" t="s">
        <v>2</v>
      </c>
      <c r="B4" s="6" t="n">
        <v>32000000</v>
      </c>
    </row>
    <row r="5" customFormat="false" ht="21.75" hidden="false" customHeight="true" outlineLevel="0" collapsed="false">
      <c r="A5" s="5" t="s">
        <v>3</v>
      </c>
      <c r="B5" s="6" t="n">
        <v>31000000</v>
      </c>
    </row>
    <row r="6" customFormat="false" ht="24" hidden="false" customHeight="true" outlineLevel="0" collapsed="false">
      <c r="A6" s="3" t="s">
        <v>4</v>
      </c>
      <c r="B6" s="4" t="n">
        <f aca="false">B4+B5</f>
        <v>63000000</v>
      </c>
    </row>
    <row r="7" customFormat="false" ht="7.5" hidden="false" customHeight="true" outlineLevel="0" collapsed="false">
      <c r="A7" s="7"/>
      <c r="B7" s="8"/>
    </row>
    <row r="8" customFormat="false" ht="25.5" hidden="false" customHeight="true" outlineLevel="0" collapsed="false">
      <c r="A8" s="9" t="s">
        <v>5</v>
      </c>
      <c r="B8" s="10"/>
    </row>
    <row r="9" customFormat="false" ht="21.75" hidden="false" customHeight="true" outlineLevel="0" collapsed="false">
      <c r="A9" s="11" t="s">
        <v>6</v>
      </c>
      <c r="B9" s="12" t="n">
        <f aca="false">'💵 Ingresos'!F2</f>
        <v>1130000</v>
      </c>
    </row>
    <row r="10" customFormat="false" ht="21.75" hidden="false" customHeight="true" outlineLevel="0" collapsed="false">
      <c r="A10" s="11" t="s">
        <v>7</v>
      </c>
      <c r="B10" s="12" t="n">
        <f aca="false">'💵 Ingresos'!F5</f>
        <v>-103900</v>
      </c>
    </row>
    <row r="11" customFormat="false" ht="21.75" hidden="false" customHeight="true" outlineLevel="0" collapsed="false">
      <c r="A11" s="13" t="s">
        <v>8</v>
      </c>
      <c r="B11" s="14" t="n">
        <f aca="false">'💸 Gastos'!D2</f>
        <v>2510000</v>
      </c>
    </row>
    <row r="12" customFormat="false" ht="24" hidden="false" customHeight="true" outlineLevel="0" collapsed="false">
      <c r="A12" s="15" t="s">
        <v>9</v>
      </c>
      <c r="B12" s="16" t="n">
        <f aca="false">B10-B11</f>
        <v>-2613900</v>
      </c>
    </row>
    <row r="13" customFormat="false" ht="7.5" hidden="false" customHeight="true" outlineLevel="0" collapsed="false">
      <c r="A13" s="7"/>
      <c r="B13" s="17"/>
    </row>
    <row r="14" customFormat="false" ht="25.5" hidden="false" customHeight="true" outlineLevel="0" collapsed="false">
      <c r="A14" s="3" t="s">
        <v>10</v>
      </c>
      <c r="B14" s="4"/>
    </row>
    <row r="15" customFormat="false" ht="21.75" hidden="false" customHeight="true" outlineLevel="0" collapsed="false">
      <c r="A15" s="5" t="s">
        <v>11</v>
      </c>
      <c r="B15" s="6" t="n">
        <f aca="false">'📈 Recuperación'!B3</f>
        <v>-1380000</v>
      </c>
    </row>
    <row r="16" customFormat="false" ht="21.75" hidden="false" customHeight="true" outlineLevel="0" collapsed="false">
      <c r="A16" s="5" t="s">
        <v>12</v>
      </c>
      <c r="B16" s="6" t="n">
        <f aca="false">'📈 Recuperación'!B4</f>
        <v>64380000</v>
      </c>
    </row>
    <row r="17" customFormat="false" ht="21.75" hidden="false" customHeight="true" outlineLevel="0" collapsed="false">
      <c r="A17" s="5" t="s">
        <v>13</v>
      </c>
      <c r="B17" s="18" t="n">
        <f aca="false">'📈 Recuperación'!B5</f>
        <v>-0.0219047619047619</v>
      </c>
    </row>
    <row r="18" customFormat="false" ht="24" hidden="false" customHeight="true" outlineLevel="0" collapsed="false">
      <c r="A18" s="5" t="s">
        <v>12</v>
      </c>
      <c r="B18" s="19" t="n">
        <f aca="false">'📈 Recuperación'!B4</f>
        <v>64380000</v>
      </c>
    </row>
    <row r="19" customFormat="false" ht="24" hidden="false" customHeight="true" outlineLevel="0" collapsed="false">
      <c r="A19" s="5" t="s">
        <v>13</v>
      </c>
      <c r="B19" s="18" t="n">
        <f aca="false">'📈 Recuperación'!B5</f>
        <v>-0.0219047619047619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5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4"/>
  </cols>
  <sheetData>
    <row r="1" customFormat="false" ht="36" hidden="false" customHeight="true" outlineLevel="0" collapsed="false">
      <c r="A1" s="20" t="s">
        <v>14</v>
      </c>
      <c r="B1" s="20"/>
      <c r="C1" s="20"/>
      <c r="D1" s="20"/>
    </row>
    <row r="2" customFormat="false" ht="25.5" hidden="false" customHeight="true" outlineLevel="0" collapsed="false">
      <c r="A2" s="21" t="s">
        <v>15</v>
      </c>
      <c r="B2" s="21"/>
      <c r="C2" s="21"/>
      <c r="D2" s="22" t="n">
        <f aca="false">D4+SUM(D5:D1000)</f>
        <v>2510000</v>
      </c>
    </row>
    <row r="3" customFormat="false" ht="25.5" hidden="false" customHeight="true" outlineLevel="0" collapsed="false">
      <c r="A3" s="23" t="s">
        <v>16</v>
      </c>
      <c r="B3" s="23" t="s">
        <v>17</v>
      </c>
      <c r="C3" s="23" t="s">
        <v>18</v>
      </c>
      <c r="D3" s="23" t="s">
        <v>19</v>
      </c>
    </row>
    <row r="4" customFormat="false" ht="21.75" hidden="false" customHeight="true" outlineLevel="0" collapsed="false">
      <c r="A4" s="24" t="s">
        <v>20</v>
      </c>
      <c r="B4" s="24"/>
      <c r="C4" s="24"/>
      <c r="D4" s="25" t="n">
        <v>1200000</v>
      </c>
    </row>
    <row r="5" customFormat="false" ht="19.5" hidden="false" customHeight="true" outlineLevel="0" collapsed="false">
      <c r="A5" s="7" t="s">
        <v>21</v>
      </c>
      <c r="B5" s="7" t="s">
        <v>22</v>
      </c>
      <c r="C5" s="7" t="s">
        <v>23</v>
      </c>
      <c r="D5" s="26" t="n">
        <v>180000</v>
      </c>
    </row>
    <row r="6" customFormat="false" ht="19.5" hidden="false" customHeight="true" outlineLevel="0" collapsed="false">
      <c r="A6" s="27" t="s">
        <v>24</v>
      </c>
      <c r="B6" s="27" t="s">
        <v>25</v>
      </c>
      <c r="C6" s="27" t="s">
        <v>26</v>
      </c>
      <c r="D6" s="28" t="n">
        <v>320000</v>
      </c>
    </row>
    <row r="7" customFormat="false" ht="19.5" hidden="false" customHeight="true" outlineLevel="0" collapsed="false">
      <c r="A7" s="7" t="s">
        <v>27</v>
      </c>
      <c r="B7" s="7" t="s">
        <v>28</v>
      </c>
      <c r="C7" s="7" t="s">
        <v>29</v>
      </c>
      <c r="D7" s="26" t="n">
        <v>560000</v>
      </c>
    </row>
    <row r="8" customFormat="false" ht="19.5" hidden="false" customHeight="true" outlineLevel="0" collapsed="false">
      <c r="A8" s="27" t="s">
        <v>30</v>
      </c>
      <c r="B8" s="27" t="s">
        <v>31</v>
      </c>
      <c r="C8" s="27" t="s">
        <v>32</v>
      </c>
      <c r="D8" s="28" t="n">
        <v>250000</v>
      </c>
    </row>
    <row r="9" customFormat="false" ht="19.5" hidden="false" customHeight="true" outlineLevel="0" collapsed="false">
      <c r="A9" s="7"/>
      <c r="B9" s="7"/>
      <c r="C9" s="7"/>
      <c r="D9" s="26"/>
    </row>
    <row r="10" customFormat="false" ht="19.5" hidden="false" customHeight="true" outlineLevel="0" collapsed="false">
      <c r="A10" s="27"/>
      <c r="B10" s="27"/>
      <c r="C10" s="27"/>
      <c r="D10" s="28"/>
    </row>
    <row r="11" customFormat="false" ht="19.5" hidden="false" customHeight="true" outlineLevel="0" collapsed="false">
      <c r="A11" s="7"/>
      <c r="B11" s="7"/>
      <c r="C11" s="7"/>
      <c r="D11" s="26"/>
    </row>
    <row r="12" customFormat="false" ht="19.5" hidden="false" customHeight="true" outlineLevel="0" collapsed="false">
      <c r="A12" s="27"/>
      <c r="B12" s="27"/>
      <c r="C12" s="27"/>
      <c r="D12" s="28"/>
    </row>
    <row r="13" customFormat="false" ht="19.5" hidden="false" customHeight="true" outlineLevel="0" collapsed="false">
      <c r="A13" s="7"/>
      <c r="B13" s="7"/>
      <c r="C13" s="7"/>
      <c r="D13" s="26"/>
    </row>
    <row r="14" customFormat="false" ht="19.5" hidden="false" customHeight="true" outlineLevel="0" collapsed="false">
      <c r="A14" s="27"/>
      <c r="B14" s="27"/>
      <c r="C14" s="27"/>
      <c r="D14" s="28"/>
    </row>
    <row r="15" customFormat="false" ht="19.5" hidden="false" customHeight="true" outlineLevel="0" collapsed="false">
      <c r="A15" s="7"/>
      <c r="B15" s="7"/>
      <c r="C15" s="7"/>
      <c r="D15" s="26"/>
    </row>
    <row r="16" customFormat="false" ht="19.5" hidden="false" customHeight="true" outlineLevel="0" collapsed="false">
      <c r="A16" s="27"/>
      <c r="B16" s="27"/>
      <c r="C16" s="27"/>
      <c r="D16" s="28"/>
    </row>
    <row r="17" customFormat="false" ht="19.5" hidden="false" customHeight="true" outlineLevel="0" collapsed="false">
      <c r="A17" s="7"/>
      <c r="B17" s="7"/>
      <c r="C17" s="7"/>
      <c r="D17" s="26"/>
    </row>
    <row r="18" customFormat="false" ht="19.5" hidden="false" customHeight="true" outlineLevel="0" collapsed="false">
      <c r="A18" s="27"/>
      <c r="B18" s="27"/>
      <c r="C18" s="27"/>
      <c r="D18" s="28"/>
    </row>
    <row r="19" customFormat="false" ht="19.5" hidden="false" customHeight="true" outlineLevel="0" collapsed="false">
      <c r="A19" s="7"/>
      <c r="B19" s="7"/>
      <c r="C19" s="7"/>
      <c r="D19" s="26"/>
    </row>
    <row r="20" customFormat="false" ht="19.5" hidden="false" customHeight="true" outlineLevel="0" collapsed="false">
      <c r="A20" s="27"/>
      <c r="B20" s="27"/>
      <c r="C20" s="27"/>
      <c r="D20" s="28"/>
    </row>
    <row r="21" customFormat="false" ht="19.5" hidden="false" customHeight="true" outlineLevel="0" collapsed="false">
      <c r="A21" s="7"/>
      <c r="B21" s="7"/>
      <c r="C21" s="7"/>
      <c r="D21" s="26"/>
    </row>
    <row r="22" customFormat="false" ht="19.5" hidden="false" customHeight="true" outlineLevel="0" collapsed="false">
      <c r="A22" s="27"/>
      <c r="B22" s="27"/>
      <c r="C22" s="27"/>
      <c r="D22" s="28"/>
    </row>
    <row r="23" customFormat="false" ht="19.5" hidden="false" customHeight="true" outlineLevel="0" collapsed="false">
      <c r="A23" s="7"/>
      <c r="B23" s="7"/>
      <c r="C23" s="7"/>
      <c r="D23" s="26"/>
    </row>
    <row r="24" customFormat="false" ht="19.5" hidden="false" customHeight="true" outlineLevel="0" collapsed="false">
      <c r="A24" s="27"/>
      <c r="B24" s="27"/>
      <c r="C24" s="27"/>
      <c r="D24" s="28"/>
    </row>
    <row r="25" customFormat="false" ht="19.5" hidden="false" customHeight="true" outlineLevel="0" collapsed="false">
      <c r="A25" s="7"/>
      <c r="B25" s="7"/>
      <c r="C25" s="7"/>
      <c r="D25" s="26"/>
    </row>
    <row r="26" customFormat="false" ht="19.5" hidden="false" customHeight="true" outlineLevel="0" collapsed="false">
      <c r="A26" s="27"/>
      <c r="B26" s="27"/>
      <c r="C26" s="27"/>
      <c r="D26" s="28"/>
    </row>
    <row r="27" customFormat="false" ht="19.5" hidden="false" customHeight="true" outlineLevel="0" collapsed="false">
      <c r="A27" s="7"/>
      <c r="B27" s="7"/>
      <c r="C27" s="7"/>
      <c r="D27" s="26"/>
    </row>
    <row r="28" customFormat="false" ht="19.5" hidden="false" customHeight="true" outlineLevel="0" collapsed="false">
      <c r="A28" s="27"/>
      <c r="B28" s="27"/>
      <c r="C28" s="27"/>
      <c r="D28" s="28"/>
    </row>
    <row r="29" customFormat="false" ht="19.5" hidden="false" customHeight="true" outlineLevel="0" collapsed="false">
      <c r="A29" s="7"/>
      <c r="B29" s="7"/>
      <c r="C29" s="7"/>
      <c r="D29" s="26"/>
    </row>
    <row r="30" customFormat="false" ht="19.5" hidden="false" customHeight="true" outlineLevel="0" collapsed="false">
      <c r="A30" s="27"/>
      <c r="B30" s="27"/>
      <c r="C30" s="27"/>
      <c r="D30" s="28"/>
    </row>
    <row r="31" customFormat="false" ht="19.5" hidden="false" customHeight="true" outlineLevel="0" collapsed="false">
      <c r="A31" s="7"/>
      <c r="B31" s="7"/>
      <c r="C31" s="7"/>
      <c r="D31" s="26"/>
    </row>
    <row r="32" customFormat="false" ht="19.5" hidden="false" customHeight="true" outlineLevel="0" collapsed="false">
      <c r="A32" s="27"/>
      <c r="B32" s="27"/>
      <c r="C32" s="27"/>
      <c r="D32" s="28"/>
    </row>
    <row r="33" customFormat="false" ht="19.5" hidden="false" customHeight="true" outlineLevel="0" collapsed="false">
      <c r="A33" s="7"/>
      <c r="B33" s="7"/>
      <c r="C33" s="7"/>
      <c r="D33" s="26"/>
    </row>
    <row r="34" customFormat="false" ht="19.5" hidden="false" customHeight="true" outlineLevel="0" collapsed="false">
      <c r="A34" s="27"/>
      <c r="B34" s="27"/>
      <c r="C34" s="27"/>
      <c r="D34" s="28"/>
    </row>
    <row r="35" customFormat="false" ht="19.5" hidden="false" customHeight="true" outlineLevel="0" collapsed="false">
      <c r="A35" s="7"/>
      <c r="B35" s="7"/>
      <c r="C35" s="7"/>
      <c r="D35" s="26"/>
    </row>
    <row r="36" customFormat="false" ht="19.5" hidden="false" customHeight="true" outlineLevel="0" collapsed="false">
      <c r="A36" s="27"/>
      <c r="B36" s="27"/>
      <c r="C36" s="27"/>
      <c r="D36" s="28"/>
    </row>
    <row r="37" customFormat="false" ht="19.5" hidden="false" customHeight="true" outlineLevel="0" collapsed="false">
      <c r="A37" s="7"/>
      <c r="B37" s="7"/>
      <c r="C37" s="7"/>
      <c r="D37" s="26"/>
    </row>
    <row r="38" customFormat="false" ht="19.5" hidden="false" customHeight="true" outlineLevel="0" collapsed="false">
      <c r="A38" s="27"/>
      <c r="B38" s="27"/>
      <c r="C38" s="27"/>
      <c r="D38" s="28"/>
    </row>
    <row r="39" customFormat="false" ht="19.5" hidden="false" customHeight="true" outlineLevel="0" collapsed="false">
      <c r="A39" s="7"/>
      <c r="B39" s="7"/>
      <c r="C39" s="7"/>
      <c r="D39" s="26"/>
    </row>
    <row r="40" customFormat="false" ht="19.5" hidden="false" customHeight="true" outlineLevel="0" collapsed="false">
      <c r="A40" s="27"/>
      <c r="B40" s="27"/>
      <c r="C40" s="27"/>
      <c r="D40" s="28"/>
    </row>
    <row r="41" customFormat="false" ht="19.5" hidden="false" customHeight="true" outlineLevel="0" collapsed="false">
      <c r="A41" s="7"/>
      <c r="B41" s="7"/>
      <c r="C41" s="7"/>
      <c r="D41" s="26"/>
    </row>
    <row r="42" customFormat="false" ht="19.5" hidden="false" customHeight="true" outlineLevel="0" collapsed="false">
      <c r="A42" s="27"/>
      <c r="B42" s="27"/>
      <c r="C42" s="27"/>
      <c r="D42" s="28"/>
    </row>
    <row r="43" customFormat="false" ht="19.5" hidden="false" customHeight="true" outlineLevel="0" collapsed="false">
      <c r="A43" s="7"/>
      <c r="B43" s="7"/>
      <c r="C43" s="7"/>
      <c r="D43" s="26"/>
    </row>
    <row r="44" customFormat="false" ht="19.5" hidden="false" customHeight="true" outlineLevel="0" collapsed="false">
      <c r="A44" s="27"/>
      <c r="B44" s="27"/>
      <c r="C44" s="27"/>
      <c r="D44" s="28"/>
    </row>
    <row r="45" customFormat="false" ht="19.5" hidden="false" customHeight="true" outlineLevel="0" collapsed="false">
      <c r="A45" s="7"/>
      <c r="B45" s="7"/>
      <c r="C45" s="7"/>
      <c r="D45" s="26"/>
    </row>
    <row r="46" customFormat="false" ht="19.5" hidden="false" customHeight="true" outlineLevel="0" collapsed="false">
      <c r="A46" s="27"/>
      <c r="B46" s="27"/>
      <c r="C46" s="27"/>
      <c r="D46" s="28"/>
    </row>
    <row r="47" customFormat="false" ht="19.5" hidden="false" customHeight="true" outlineLevel="0" collapsed="false">
      <c r="A47" s="7"/>
      <c r="B47" s="7"/>
      <c r="C47" s="7"/>
      <c r="D47" s="26"/>
    </row>
    <row r="48" customFormat="false" ht="19.5" hidden="false" customHeight="true" outlineLevel="0" collapsed="false">
      <c r="A48" s="27"/>
      <c r="B48" s="27"/>
      <c r="C48" s="27"/>
      <c r="D48" s="28"/>
    </row>
    <row r="49" customFormat="false" ht="19.5" hidden="false" customHeight="true" outlineLevel="0" collapsed="false">
      <c r="A49" s="7"/>
      <c r="B49" s="7"/>
      <c r="C49" s="7"/>
      <c r="D49" s="26"/>
    </row>
    <row r="50" customFormat="false" ht="19.5" hidden="false" customHeight="true" outlineLevel="0" collapsed="false">
      <c r="A50" s="27"/>
      <c r="B50" s="27"/>
      <c r="C50" s="27"/>
      <c r="D50" s="28"/>
    </row>
    <row r="51" customFormat="false" ht="19.5" hidden="false" customHeight="true" outlineLevel="0" collapsed="false">
      <c r="A51" s="7"/>
      <c r="B51" s="7"/>
      <c r="C51" s="7"/>
      <c r="D51" s="26"/>
    </row>
    <row r="52" customFormat="false" ht="19.5" hidden="false" customHeight="true" outlineLevel="0" collapsed="false">
      <c r="A52" s="27"/>
      <c r="B52" s="27"/>
      <c r="C52" s="27"/>
      <c r="D52" s="28"/>
    </row>
    <row r="53" customFormat="false" ht="19.5" hidden="false" customHeight="true" outlineLevel="0" collapsed="false">
      <c r="A53" s="7"/>
      <c r="B53" s="7"/>
      <c r="C53" s="7"/>
      <c r="D53" s="26"/>
    </row>
    <row r="54" customFormat="false" ht="19.5" hidden="false" customHeight="true" outlineLevel="0" collapsed="false">
      <c r="A54" s="27"/>
      <c r="B54" s="27"/>
      <c r="C54" s="27"/>
      <c r="D54" s="28"/>
    </row>
    <row r="55" customFormat="false" ht="19.5" hidden="false" customHeight="true" outlineLevel="0" collapsed="false">
      <c r="A55" s="7"/>
      <c r="B55" s="7"/>
      <c r="C55" s="7"/>
      <c r="D55" s="26"/>
    </row>
    <row r="56" customFormat="false" ht="19.5" hidden="false" customHeight="true" outlineLevel="0" collapsed="false">
      <c r="A56" s="27"/>
      <c r="B56" s="27"/>
      <c r="C56" s="27"/>
      <c r="D56" s="28"/>
    </row>
    <row r="57" customFormat="false" ht="19.5" hidden="false" customHeight="true" outlineLevel="0" collapsed="false">
      <c r="A57" s="7"/>
      <c r="B57" s="7"/>
      <c r="C57" s="7"/>
      <c r="D57" s="26"/>
    </row>
    <row r="58" customFormat="false" ht="19.5" hidden="false" customHeight="true" outlineLevel="0" collapsed="false">
      <c r="A58" s="27"/>
      <c r="B58" s="27"/>
      <c r="C58" s="27"/>
      <c r="D58" s="28"/>
    </row>
    <row r="59" customFormat="false" ht="19.5" hidden="false" customHeight="true" outlineLevel="0" collapsed="false">
      <c r="A59" s="7"/>
      <c r="B59" s="7"/>
      <c r="C59" s="7"/>
      <c r="D59" s="26"/>
    </row>
    <row r="60" customFormat="false" ht="19.5" hidden="false" customHeight="true" outlineLevel="0" collapsed="false">
      <c r="A60" s="27"/>
      <c r="B60" s="27"/>
      <c r="C60" s="27"/>
      <c r="D60" s="28"/>
    </row>
    <row r="61" customFormat="false" ht="19.5" hidden="false" customHeight="true" outlineLevel="0" collapsed="false">
      <c r="A61" s="7"/>
      <c r="B61" s="7"/>
      <c r="C61" s="7"/>
      <c r="D61" s="26"/>
    </row>
    <row r="62" customFormat="false" ht="19.5" hidden="false" customHeight="true" outlineLevel="0" collapsed="false">
      <c r="A62" s="27"/>
      <c r="B62" s="27"/>
      <c r="C62" s="27"/>
      <c r="D62" s="28"/>
    </row>
    <row r="63" customFormat="false" ht="19.5" hidden="false" customHeight="true" outlineLevel="0" collapsed="false">
      <c r="A63" s="7"/>
      <c r="B63" s="7"/>
      <c r="C63" s="7"/>
      <c r="D63" s="26"/>
    </row>
    <row r="64" customFormat="false" ht="19.5" hidden="false" customHeight="true" outlineLevel="0" collapsed="false">
      <c r="A64" s="27"/>
      <c r="B64" s="27"/>
      <c r="C64" s="27"/>
      <c r="D64" s="28"/>
    </row>
    <row r="65" customFormat="false" ht="19.5" hidden="false" customHeight="true" outlineLevel="0" collapsed="false">
      <c r="A65" s="7"/>
      <c r="B65" s="7"/>
      <c r="C65" s="7"/>
      <c r="D65" s="26"/>
    </row>
    <row r="66" customFormat="false" ht="19.5" hidden="false" customHeight="true" outlineLevel="0" collapsed="false">
      <c r="A66" s="27"/>
      <c r="B66" s="27"/>
      <c r="C66" s="27"/>
      <c r="D66" s="28"/>
    </row>
    <row r="67" customFormat="false" ht="19.5" hidden="false" customHeight="true" outlineLevel="0" collapsed="false">
      <c r="A67" s="7"/>
      <c r="B67" s="7"/>
      <c r="C67" s="7"/>
      <c r="D67" s="26"/>
    </row>
    <row r="68" customFormat="false" ht="19.5" hidden="false" customHeight="true" outlineLevel="0" collapsed="false">
      <c r="A68" s="27"/>
      <c r="B68" s="27"/>
      <c r="C68" s="27"/>
      <c r="D68" s="28"/>
    </row>
    <row r="69" customFormat="false" ht="19.5" hidden="false" customHeight="true" outlineLevel="0" collapsed="false">
      <c r="A69" s="7"/>
      <c r="B69" s="7"/>
      <c r="C69" s="7"/>
      <c r="D69" s="26"/>
    </row>
    <row r="70" customFormat="false" ht="19.5" hidden="false" customHeight="true" outlineLevel="0" collapsed="false">
      <c r="A70" s="27"/>
      <c r="B70" s="27"/>
      <c r="C70" s="27"/>
      <c r="D70" s="28"/>
    </row>
    <row r="71" customFormat="false" ht="19.5" hidden="false" customHeight="true" outlineLevel="0" collapsed="false">
      <c r="A71" s="7"/>
      <c r="B71" s="7"/>
      <c r="C71" s="7"/>
      <c r="D71" s="26"/>
    </row>
    <row r="72" customFormat="false" ht="19.5" hidden="false" customHeight="true" outlineLevel="0" collapsed="false">
      <c r="A72" s="27"/>
      <c r="B72" s="27"/>
      <c r="C72" s="27"/>
      <c r="D72" s="28"/>
    </row>
    <row r="73" customFormat="false" ht="19.5" hidden="false" customHeight="true" outlineLevel="0" collapsed="false">
      <c r="A73" s="7"/>
      <c r="B73" s="7"/>
      <c r="C73" s="7"/>
      <c r="D73" s="26"/>
    </row>
    <row r="74" customFormat="false" ht="19.5" hidden="false" customHeight="true" outlineLevel="0" collapsed="false">
      <c r="A74" s="27"/>
      <c r="B74" s="27"/>
      <c r="C74" s="27"/>
      <c r="D74" s="28"/>
    </row>
    <row r="75" customFormat="false" ht="19.5" hidden="false" customHeight="true" outlineLevel="0" collapsed="false">
      <c r="A75" s="7"/>
      <c r="B75" s="7"/>
      <c r="C75" s="7"/>
      <c r="D75" s="26"/>
    </row>
    <row r="76" customFormat="false" ht="19.5" hidden="false" customHeight="true" outlineLevel="0" collapsed="false">
      <c r="A76" s="27"/>
      <c r="B76" s="27"/>
      <c r="C76" s="27"/>
      <c r="D76" s="28"/>
    </row>
    <row r="77" customFormat="false" ht="19.5" hidden="false" customHeight="true" outlineLevel="0" collapsed="false">
      <c r="A77" s="7"/>
      <c r="B77" s="7"/>
      <c r="C77" s="7"/>
      <c r="D77" s="26"/>
    </row>
    <row r="78" customFormat="false" ht="19.5" hidden="false" customHeight="true" outlineLevel="0" collapsed="false">
      <c r="A78" s="27"/>
      <c r="B78" s="27"/>
      <c r="C78" s="27"/>
      <c r="D78" s="28"/>
    </row>
    <row r="79" customFormat="false" ht="19.5" hidden="false" customHeight="true" outlineLevel="0" collapsed="false">
      <c r="A79" s="7"/>
      <c r="B79" s="7"/>
      <c r="C79" s="7"/>
      <c r="D79" s="26"/>
    </row>
    <row r="80" customFormat="false" ht="19.5" hidden="false" customHeight="true" outlineLevel="0" collapsed="false">
      <c r="A80" s="27"/>
      <c r="B80" s="27"/>
      <c r="C80" s="27"/>
      <c r="D80" s="28"/>
    </row>
    <row r="81" customFormat="false" ht="19.5" hidden="false" customHeight="true" outlineLevel="0" collapsed="false">
      <c r="A81" s="7"/>
      <c r="B81" s="7"/>
      <c r="C81" s="7"/>
      <c r="D81" s="26"/>
    </row>
    <row r="82" customFormat="false" ht="19.5" hidden="false" customHeight="true" outlineLevel="0" collapsed="false">
      <c r="A82" s="27"/>
      <c r="B82" s="27"/>
      <c r="C82" s="27"/>
      <c r="D82" s="28"/>
    </row>
    <row r="83" customFormat="false" ht="19.5" hidden="false" customHeight="true" outlineLevel="0" collapsed="false">
      <c r="A83" s="7"/>
      <c r="B83" s="7"/>
      <c r="C83" s="7"/>
      <c r="D83" s="26"/>
    </row>
    <row r="84" customFormat="false" ht="19.5" hidden="false" customHeight="true" outlineLevel="0" collapsed="false">
      <c r="A84" s="27"/>
      <c r="B84" s="27"/>
      <c r="C84" s="27"/>
      <c r="D84" s="28"/>
    </row>
    <row r="85" customFormat="false" ht="19.5" hidden="false" customHeight="true" outlineLevel="0" collapsed="false">
      <c r="A85" s="7"/>
      <c r="B85" s="7"/>
      <c r="C85" s="7"/>
      <c r="D85" s="26"/>
    </row>
    <row r="86" customFormat="false" ht="19.5" hidden="false" customHeight="true" outlineLevel="0" collapsed="false">
      <c r="A86" s="27"/>
      <c r="B86" s="27"/>
      <c r="C86" s="27"/>
      <c r="D86" s="28"/>
    </row>
    <row r="87" customFormat="false" ht="19.5" hidden="false" customHeight="true" outlineLevel="0" collapsed="false">
      <c r="A87" s="7"/>
      <c r="B87" s="7"/>
      <c r="C87" s="7"/>
      <c r="D87" s="26"/>
    </row>
    <row r="88" customFormat="false" ht="19.5" hidden="false" customHeight="true" outlineLevel="0" collapsed="false">
      <c r="A88" s="27"/>
      <c r="B88" s="27"/>
      <c r="C88" s="27"/>
      <c r="D88" s="28"/>
    </row>
    <row r="89" customFormat="false" ht="19.5" hidden="false" customHeight="true" outlineLevel="0" collapsed="false">
      <c r="A89" s="7"/>
      <c r="B89" s="7"/>
      <c r="C89" s="7"/>
      <c r="D89" s="26"/>
    </row>
    <row r="90" customFormat="false" ht="19.5" hidden="false" customHeight="true" outlineLevel="0" collapsed="false">
      <c r="A90" s="27"/>
      <c r="B90" s="27"/>
      <c r="C90" s="27"/>
      <c r="D90" s="28"/>
    </row>
    <row r="91" customFormat="false" ht="19.5" hidden="false" customHeight="true" outlineLevel="0" collapsed="false">
      <c r="A91" s="7"/>
      <c r="B91" s="7"/>
      <c r="C91" s="7"/>
      <c r="D91" s="26"/>
    </row>
    <row r="92" customFormat="false" ht="19.5" hidden="false" customHeight="true" outlineLevel="0" collapsed="false">
      <c r="A92" s="27"/>
      <c r="B92" s="27"/>
      <c r="C92" s="27"/>
      <c r="D92" s="28"/>
    </row>
    <row r="93" customFormat="false" ht="19.5" hidden="false" customHeight="true" outlineLevel="0" collapsed="false">
      <c r="A93" s="7"/>
      <c r="B93" s="7"/>
      <c r="C93" s="7"/>
      <c r="D93" s="26"/>
    </row>
    <row r="94" customFormat="false" ht="19.5" hidden="false" customHeight="true" outlineLevel="0" collapsed="false">
      <c r="A94" s="27"/>
      <c r="B94" s="27"/>
      <c r="C94" s="27"/>
      <c r="D94" s="28"/>
    </row>
    <row r="95" customFormat="false" ht="19.5" hidden="false" customHeight="true" outlineLevel="0" collapsed="false">
      <c r="A95" s="7"/>
      <c r="B95" s="7"/>
      <c r="C95" s="7"/>
      <c r="D95" s="26"/>
    </row>
    <row r="96" customFormat="false" ht="19.5" hidden="false" customHeight="true" outlineLevel="0" collapsed="false">
      <c r="A96" s="27"/>
      <c r="B96" s="27"/>
      <c r="C96" s="27"/>
      <c r="D96" s="28"/>
    </row>
    <row r="97" customFormat="false" ht="19.5" hidden="false" customHeight="true" outlineLevel="0" collapsed="false">
      <c r="A97" s="7"/>
      <c r="B97" s="7"/>
      <c r="C97" s="7"/>
      <c r="D97" s="26"/>
    </row>
    <row r="98" customFormat="false" ht="19.5" hidden="false" customHeight="true" outlineLevel="0" collapsed="false">
      <c r="A98" s="27"/>
      <c r="B98" s="27"/>
      <c r="C98" s="27"/>
      <c r="D98" s="28"/>
    </row>
    <row r="99" customFormat="false" ht="19.5" hidden="false" customHeight="true" outlineLevel="0" collapsed="false">
      <c r="A99" s="7"/>
      <c r="B99" s="7"/>
      <c r="C99" s="7"/>
      <c r="D99" s="26"/>
    </row>
    <row r="100" customFormat="false" ht="19.5" hidden="false" customHeight="true" outlineLevel="0" collapsed="false">
      <c r="A100" s="27"/>
      <c r="B100" s="27"/>
      <c r="C100" s="27"/>
      <c r="D100" s="28"/>
    </row>
    <row r="101" customFormat="false" ht="19.5" hidden="false" customHeight="true" outlineLevel="0" collapsed="false">
      <c r="A101" s="7"/>
      <c r="B101" s="7"/>
      <c r="C101" s="7"/>
      <c r="D101" s="26"/>
    </row>
    <row r="102" customFormat="false" ht="19.5" hidden="false" customHeight="true" outlineLevel="0" collapsed="false">
      <c r="A102" s="27"/>
      <c r="B102" s="27"/>
      <c r="C102" s="27"/>
      <c r="D102" s="28"/>
    </row>
    <row r="103" customFormat="false" ht="19.5" hidden="false" customHeight="true" outlineLevel="0" collapsed="false">
      <c r="A103" s="7"/>
      <c r="B103" s="7"/>
      <c r="C103" s="7"/>
      <c r="D103" s="26"/>
    </row>
    <row r="104" customFormat="false" ht="19.5" hidden="false" customHeight="true" outlineLevel="0" collapsed="false">
      <c r="A104" s="27"/>
      <c r="B104" s="27"/>
      <c r="C104" s="27"/>
      <c r="D104" s="28"/>
    </row>
    <row r="105" customFormat="false" ht="19.5" hidden="false" customHeight="true" outlineLevel="0" collapsed="false">
      <c r="A105" s="7"/>
      <c r="B105" s="7"/>
      <c r="C105" s="7"/>
      <c r="D105" s="26"/>
    </row>
    <row r="106" customFormat="false" ht="19.5" hidden="false" customHeight="true" outlineLevel="0" collapsed="false">
      <c r="A106" s="27"/>
      <c r="B106" s="27"/>
      <c r="C106" s="27"/>
      <c r="D106" s="28"/>
    </row>
    <row r="107" customFormat="false" ht="19.5" hidden="false" customHeight="true" outlineLevel="0" collapsed="false">
      <c r="A107" s="7"/>
      <c r="B107" s="7"/>
      <c r="C107" s="7"/>
      <c r="D107" s="26"/>
    </row>
    <row r="108" customFormat="false" ht="19.5" hidden="false" customHeight="true" outlineLevel="0" collapsed="false">
      <c r="A108" s="27"/>
      <c r="B108" s="27"/>
      <c r="C108" s="27"/>
      <c r="D108" s="28"/>
    </row>
    <row r="109" customFormat="false" ht="19.5" hidden="false" customHeight="true" outlineLevel="0" collapsed="false">
      <c r="A109" s="7"/>
      <c r="B109" s="7"/>
      <c r="C109" s="7"/>
      <c r="D109" s="26"/>
    </row>
    <row r="110" customFormat="false" ht="19.5" hidden="false" customHeight="true" outlineLevel="0" collapsed="false">
      <c r="A110" s="27"/>
      <c r="B110" s="27"/>
      <c r="C110" s="27"/>
      <c r="D110" s="28"/>
    </row>
    <row r="111" customFormat="false" ht="19.5" hidden="false" customHeight="true" outlineLevel="0" collapsed="false">
      <c r="A111" s="7"/>
      <c r="B111" s="7"/>
      <c r="C111" s="7"/>
      <c r="D111" s="26"/>
    </row>
    <row r="112" customFormat="false" ht="19.5" hidden="false" customHeight="true" outlineLevel="0" collapsed="false">
      <c r="A112" s="27"/>
      <c r="B112" s="27"/>
      <c r="C112" s="27"/>
      <c r="D112" s="28"/>
    </row>
    <row r="113" customFormat="false" ht="19.5" hidden="false" customHeight="true" outlineLevel="0" collapsed="false">
      <c r="A113" s="7"/>
      <c r="B113" s="7"/>
      <c r="C113" s="7"/>
      <c r="D113" s="26"/>
    </row>
    <row r="114" customFormat="false" ht="19.5" hidden="false" customHeight="true" outlineLevel="0" collapsed="false">
      <c r="A114" s="27"/>
      <c r="B114" s="27"/>
      <c r="C114" s="27"/>
      <c r="D114" s="28"/>
    </row>
    <row r="115" customFormat="false" ht="19.5" hidden="false" customHeight="true" outlineLevel="0" collapsed="false">
      <c r="A115" s="7"/>
      <c r="B115" s="7"/>
      <c r="C115" s="7"/>
      <c r="D115" s="26"/>
    </row>
    <row r="116" customFormat="false" ht="19.5" hidden="false" customHeight="true" outlineLevel="0" collapsed="false">
      <c r="A116" s="27"/>
      <c r="B116" s="27"/>
      <c r="C116" s="27"/>
      <c r="D116" s="28"/>
    </row>
    <row r="117" customFormat="false" ht="19.5" hidden="false" customHeight="true" outlineLevel="0" collapsed="false">
      <c r="A117" s="7"/>
      <c r="B117" s="7"/>
      <c r="C117" s="7"/>
      <c r="D117" s="26"/>
    </row>
    <row r="118" customFormat="false" ht="19.5" hidden="false" customHeight="true" outlineLevel="0" collapsed="false">
      <c r="A118" s="27"/>
      <c r="B118" s="27"/>
      <c r="C118" s="27"/>
      <c r="D118" s="28"/>
    </row>
    <row r="119" customFormat="false" ht="19.5" hidden="false" customHeight="true" outlineLevel="0" collapsed="false">
      <c r="A119" s="7"/>
      <c r="B119" s="7"/>
      <c r="C119" s="7"/>
      <c r="D119" s="26"/>
    </row>
    <row r="120" customFormat="false" ht="19.5" hidden="false" customHeight="true" outlineLevel="0" collapsed="false">
      <c r="A120" s="27"/>
      <c r="B120" s="27"/>
      <c r="C120" s="27"/>
      <c r="D120" s="28"/>
    </row>
    <row r="121" customFormat="false" ht="19.5" hidden="false" customHeight="true" outlineLevel="0" collapsed="false">
      <c r="A121" s="7"/>
      <c r="B121" s="7"/>
      <c r="C121" s="7"/>
      <c r="D121" s="26"/>
    </row>
    <row r="122" customFormat="false" ht="19.5" hidden="false" customHeight="true" outlineLevel="0" collapsed="false">
      <c r="A122" s="27"/>
      <c r="B122" s="27"/>
      <c r="C122" s="27"/>
      <c r="D122" s="28"/>
    </row>
    <row r="123" customFormat="false" ht="19.5" hidden="false" customHeight="true" outlineLevel="0" collapsed="false">
      <c r="A123" s="7"/>
      <c r="B123" s="7"/>
      <c r="C123" s="7"/>
      <c r="D123" s="26"/>
    </row>
    <row r="124" customFormat="false" ht="19.5" hidden="false" customHeight="true" outlineLevel="0" collapsed="false">
      <c r="A124" s="27"/>
      <c r="B124" s="27"/>
      <c r="C124" s="27"/>
      <c r="D124" s="28"/>
    </row>
    <row r="125" customFormat="false" ht="19.5" hidden="false" customHeight="true" outlineLevel="0" collapsed="false">
      <c r="A125" s="7"/>
      <c r="B125" s="7"/>
      <c r="C125" s="7"/>
      <c r="D125" s="26"/>
    </row>
    <row r="126" customFormat="false" ht="19.5" hidden="false" customHeight="true" outlineLevel="0" collapsed="false">
      <c r="A126" s="27"/>
      <c r="B126" s="27"/>
      <c r="C126" s="27"/>
      <c r="D126" s="28"/>
    </row>
    <row r="127" customFormat="false" ht="19.5" hidden="false" customHeight="true" outlineLevel="0" collapsed="false">
      <c r="A127" s="7"/>
      <c r="B127" s="7"/>
      <c r="C127" s="7"/>
      <c r="D127" s="26"/>
    </row>
    <row r="128" customFormat="false" ht="19.5" hidden="false" customHeight="true" outlineLevel="0" collapsed="false">
      <c r="A128" s="27"/>
      <c r="B128" s="27"/>
      <c r="C128" s="27"/>
      <c r="D128" s="28"/>
    </row>
    <row r="129" customFormat="false" ht="19.5" hidden="false" customHeight="true" outlineLevel="0" collapsed="false">
      <c r="A129" s="7"/>
      <c r="B129" s="7"/>
      <c r="C129" s="7"/>
      <c r="D129" s="26"/>
    </row>
    <row r="130" customFormat="false" ht="19.5" hidden="false" customHeight="true" outlineLevel="0" collapsed="false">
      <c r="A130" s="27"/>
      <c r="B130" s="27"/>
      <c r="C130" s="27"/>
      <c r="D130" s="28"/>
    </row>
    <row r="131" customFormat="false" ht="19.5" hidden="false" customHeight="true" outlineLevel="0" collapsed="false">
      <c r="A131" s="7"/>
      <c r="B131" s="7"/>
      <c r="C131" s="7"/>
      <c r="D131" s="26"/>
    </row>
    <row r="132" customFormat="false" ht="19.5" hidden="false" customHeight="true" outlineLevel="0" collapsed="false">
      <c r="A132" s="27"/>
      <c r="B132" s="27"/>
      <c r="C132" s="27"/>
      <c r="D132" s="28"/>
    </row>
    <row r="133" customFormat="false" ht="19.5" hidden="false" customHeight="true" outlineLevel="0" collapsed="false">
      <c r="A133" s="7"/>
      <c r="B133" s="7"/>
      <c r="C133" s="7"/>
      <c r="D133" s="26"/>
    </row>
    <row r="134" customFormat="false" ht="19.5" hidden="false" customHeight="true" outlineLevel="0" collapsed="false">
      <c r="A134" s="27"/>
      <c r="B134" s="27"/>
      <c r="C134" s="27"/>
      <c r="D134" s="28"/>
    </row>
    <row r="135" customFormat="false" ht="19.5" hidden="false" customHeight="true" outlineLevel="0" collapsed="false">
      <c r="A135" s="7"/>
      <c r="B135" s="7"/>
      <c r="C135" s="7"/>
      <c r="D135" s="26"/>
    </row>
    <row r="136" customFormat="false" ht="19.5" hidden="false" customHeight="true" outlineLevel="0" collapsed="false">
      <c r="A136" s="27"/>
      <c r="B136" s="27"/>
      <c r="C136" s="27"/>
      <c r="D136" s="28"/>
    </row>
    <row r="137" customFormat="false" ht="19.5" hidden="false" customHeight="true" outlineLevel="0" collapsed="false">
      <c r="A137" s="7"/>
      <c r="B137" s="7"/>
      <c r="C137" s="7"/>
      <c r="D137" s="26"/>
    </row>
    <row r="138" customFormat="false" ht="19.5" hidden="false" customHeight="true" outlineLevel="0" collapsed="false">
      <c r="A138" s="27"/>
      <c r="B138" s="27"/>
      <c r="C138" s="27"/>
      <c r="D138" s="28"/>
    </row>
    <row r="139" customFormat="false" ht="19.5" hidden="false" customHeight="true" outlineLevel="0" collapsed="false">
      <c r="A139" s="7"/>
      <c r="B139" s="7"/>
      <c r="C139" s="7"/>
      <c r="D139" s="26"/>
    </row>
    <row r="140" customFormat="false" ht="19.5" hidden="false" customHeight="true" outlineLevel="0" collapsed="false">
      <c r="A140" s="27"/>
      <c r="B140" s="27"/>
      <c r="C140" s="27"/>
      <c r="D140" s="28"/>
    </row>
    <row r="141" customFormat="false" ht="19.5" hidden="false" customHeight="true" outlineLevel="0" collapsed="false">
      <c r="A141" s="7"/>
      <c r="B141" s="7"/>
      <c r="C141" s="7"/>
      <c r="D141" s="26"/>
    </row>
    <row r="142" customFormat="false" ht="19.5" hidden="false" customHeight="true" outlineLevel="0" collapsed="false">
      <c r="A142" s="27"/>
      <c r="B142" s="27"/>
      <c r="C142" s="27"/>
      <c r="D142" s="28"/>
    </row>
    <row r="143" customFormat="false" ht="19.5" hidden="false" customHeight="true" outlineLevel="0" collapsed="false">
      <c r="A143" s="7"/>
      <c r="B143" s="7"/>
      <c r="C143" s="7"/>
      <c r="D143" s="26"/>
    </row>
    <row r="144" customFormat="false" ht="19.5" hidden="false" customHeight="true" outlineLevel="0" collapsed="false">
      <c r="A144" s="27"/>
      <c r="B144" s="27"/>
      <c r="C144" s="27"/>
      <c r="D144" s="28"/>
    </row>
    <row r="145" customFormat="false" ht="19.5" hidden="false" customHeight="true" outlineLevel="0" collapsed="false">
      <c r="A145" s="7"/>
      <c r="B145" s="7"/>
      <c r="C145" s="7"/>
      <c r="D145" s="26"/>
    </row>
    <row r="146" customFormat="false" ht="19.5" hidden="false" customHeight="true" outlineLevel="0" collapsed="false">
      <c r="A146" s="27"/>
      <c r="B146" s="27"/>
      <c r="C146" s="27"/>
      <c r="D146" s="28"/>
    </row>
    <row r="147" customFormat="false" ht="19.5" hidden="false" customHeight="true" outlineLevel="0" collapsed="false">
      <c r="A147" s="7"/>
      <c r="B147" s="7"/>
      <c r="C147" s="7"/>
      <c r="D147" s="26"/>
    </row>
    <row r="148" customFormat="false" ht="19.5" hidden="false" customHeight="true" outlineLevel="0" collapsed="false">
      <c r="A148" s="27"/>
      <c r="B148" s="27"/>
      <c r="C148" s="27"/>
      <c r="D148" s="28"/>
    </row>
    <row r="149" customFormat="false" ht="19.5" hidden="false" customHeight="true" outlineLevel="0" collapsed="false">
      <c r="A149" s="7"/>
      <c r="B149" s="7"/>
      <c r="C149" s="7"/>
      <c r="D149" s="26"/>
    </row>
    <row r="150" customFormat="false" ht="19.5" hidden="false" customHeight="true" outlineLevel="0" collapsed="false">
      <c r="A150" s="27"/>
      <c r="B150" s="27"/>
      <c r="C150" s="27"/>
      <c r="D150" s="28"/>
    </row>
    <row r="151" customFormat="false" ht="19.5" hidden="false" customHeight="true" outlineLevel="0" collapsed="false">
      <c r="A151" s="7"/>
      <c r="B151" s="7"/>
      <c r="C151" s="7"/>
      <c r="D151" s="26"/>
    </row>
    <row r="152" customFormat="false" ht="19.5" hidden="false" customHeight="true" outlineLevel="0" collapsed="false">
      <c r="A152" s="27"/>
      <c r="B152" s="27"/>
      <c r="C152" s="27"/>
      <c r="D152" s="28"/>
    </row>
    <row r="153" customFormat="false" ht="19.5" hidden="false" customHeight="true" outlineLevel="0" collapsed="false">
      <c r="A153" s="7"/>
      <c r="B153" s="7"/>
      <c r="C153" s="7"/>
      <c r="D153" s="26"/>
    </row>
    <row r="154" customFormat="false" ht="19.5" hidden="false" customHeight="true" outlineLevel="0" collapsed="false">
      <c r="A154" s="27"/>
      <c r="B154" s="27"/>
      <c r="C154" s="27"/>
      <c r="D154" s="28"/>
    </row>
    <row r="155" customFormat="false" ht="19.5" hidden="false" customHeight="true" outlineLevel="0" collapsed="false">
      <c r="A155" s="7"/>
      <c r="B155" s="7"/>
      <c r="C155" s="7"/>
      <c r="D155" s="26"/>
    </row>
    <row r="156" customFormat="false" ht="19.5" hidden="false" customHeight="true" outlineLevel="0" collapsed="false">
      <c r="A156" s="27"/>
      <c r="B156" s="27"/>
      <c r="C156" s="27"/>
      <c r="D156" s="28"/>
    </row>
    <row r="157" customFormat="false" ht="19.5" hidden="false" customHeight="true" outlineLevel="0" collapsed="false">
      <c r="A157" s="7"/>
      <c r="B157" s="7"/>
      <c r="C157" s="7"/>
      <c r="D157" s="26"/>
    </row>
    <row r="158" customFormat="false" ht="19.5" hidden="false" customHeight="true" outlineLevel="0" collapsed="false">
      <c r="A158" s="27"/>
      <c r="B158" s="27"/>
      <c r="C158" s="27"/>
      <c r="D158" s="28"/>
    </row>
    <row r="159" customFormat="false" ht="19.5" hidden="false" customHeight="true" outlineLevel="0" collapsed="false">
      <c r="A159" s="7"/>
      <c r="B159" s="7"/>
      <c r="C159" s="7"/>
      <c r="D159" s="26"/>
    </row>
    <row r="160" customFormat="false" ht="19.5" hidden="false" customHeight="true" outlineLevel="0" collapsed="false">
      <c r="A160" s="27"/>
      <c r="B160" s="27"/>
      <c r="C160" s="27"/>
      <c r="D160" s="28"/>
    </row>
    <row r="161" customFormat="false" ht="19.5" hidden="false" customHeight="true" outlineLevel="0" collapsed="false">
      <c r="A161" s="7"/>
      <c r="B161" s="7"/>
      <c r="C161" s="7"/>
      <c r="D161" s="26"/>
    </row>
    <row r="162" customFormat="false" ht="19.5" hidden="false" customHeight="true" outlineLevel="0" collapsed="false">
      <c r="A162" s="27"/>
      <c r="B162" s="27"/>
      <c r="C162" s="27"/>
      <c r="D162" s="28"/>
    </row>
    <row r="163" customFormat="false" ht="19.5" hidden="false" customHeight="true" outlineLevel="0" collapsed="false">
      <c r="A163" s="7"/>
      <c r="B163" s="7"/>
      <c r="C163" s="7"/>
      <c r="D163" s="26"/>
    </row>
    <row r="164" customFormat="false" ht="19.5" hidden="false" customHeight="true" outlineLevel="0" collapsed="false">
      <c r="A164" s="27"/>
      <c r="B164" s="27"/>
      <c r="C164" s="27"/>
      <c r="D164" s="28"/>
    </row>
    <row r="165" customFormat="false" ht="19.5" hidden="false" customHeight="true" outlineLevel="0" collapsed="false">
      <c r="A165" s="7"/>
      <c r="B165" s="7"/>
      <c r="C165" s="7"/>
      <c r="D165" s="26"/>
    </row>
    <row r="166" customFormat="false" ht="19.5" hidden="false" customHeight="true" outlineLevel="0" collapsed="false">
      <c r="A166" s="27"/>
      <c r="B166" s="27"/>
      <c r="C166" s="27"/>
      <c r="D166" s="28"/>
    </row>
    <row r="167" customFormat="false" ht="19.5" hidden="false" customHeight="true" outlineLevel="0" collapsed="false">
      <c r="A167" s="7"/>
      <c r="B167" s="7"/>
      <c r="C167" s="7"/>
      <c r="D167" s="26"/>
    </row>
    <row r="168" customFormat="false" ht="19.5" hidden="false" customHeight="true" outlineLevel="0" collapsed="false">
      <c r="A168" s="27"/>
      <c r="B168" s="27"/>
      <c r="C168" s="27"/>
      <c r="D168" s="28"/>
    </row>
    <row r="169" customFormat="false" ht="19.5" hidden="false" customHeight="true" outlineLevel="0" collapsed="false">
      <c r="A169" s="7"/>
      <c r="B169" s="7"/>
      <c r="C169" s="7"/>
      <c r="D169" s="26"/>
    </row>
    <row r="170" customFormat="false" ht="19.5" hidden="false" customHeight="true" outlineLevel="0" collapsed="false">
      <c r="A170" s="27"/>
      <c r="B170" s="27"/>
      <c r="C170" s="27"/>
      <c r="D170" s="28"/>
    </row>
    <row r="171" customFormat="false" ht="19.5" hidden="false" customHeight="true" outlineLevel="0" collapsed="false">
      <c r="A171" s="7"/>
      <c r="B171" s="7"/>
      <c r="C171" s="7"/>
      <c r="D171" s="26"/>
    </row>
    <row r="172" customFormat="false" ht="19.5" hidden="false" customHeight="true" outlineLevel="0" collapsed="false">
      <c r="A172" s="27"/>
      <c r="B172" s="27"/>
      <c r="C172" s="27"/>
      <c r="D172" s="28"/>
    </row>
    <row r="173" customFormat="false" ht="19.5" hidden="false" customHeight="true" outlineLevel="0" collapsed="false">
      <c r="A173" s="7"/>
      <c r="B173" s="7"/>
      <c r="C173" s="7"/>
      <c r="D173" s="26"/>
    </row>
    <row r="174" customFormat="false" ht="19.5" hidden="false" customHeight="true" outlineLevel="0" collapsed="false">
      <c r="A174" s="27"/>
      <c r="B174" s="27"/>
      <c r="C174" s="27"/>
      <c r="D174" s="28"/>
    </row>
    <row r="175" customFormat="false" ht="19.5" hidden="false" customHeight="true" outlineLevel="0" collapsed="false">
      <c r="A175" s="7"/>
      <c r="B175" s="7"/>
      <c r="C175" s="7"/>
      <c r="D175" s="26"/>
    </row>
    <row r="176" customFormat="false" ht="19.5" hidden="false" customHeight="true" outlineLevel="0" collapsed="false">
      <c r="A176" s="27"/>
      <c r="B176" s="27"/>
      <c r="C176" s="27"/>
      <c r="D176" s="28"/>
    </row>
    <row r="177" customFormat="false" ht="19.5" hidden="false" customHeight="true" outlineLevel="0" collapsed="false">
      <c r="A177" s="7"/>
      <c r="B177" s="7"/>
      <c r="C177" s="7"/>
      <c r="D177" s="26"/>
    </row>
    <row r="178" customFormat="false" ht="19.5" hidden="false" customHeight="true" outlineLevel="0" collapsed="false">
      <c r="A178" s="27"/>
      <c r="B178" s="27"/>
      <c r="C178" s="27"/>
      <c r="D178" s="28"/>
    </row>
    <row r="179" customFormat="false" ht="19.5" hidden="false" customHeight="true" outlineLevel="0" collapsed="false">
      <c r="A179" s="7"/>
      <c r="B179" s="7"/>
      <c r="C179" s="7"/>
      <c r="D179" s="26"/>
    </row>
    <row r="180" customFormat="false" ht="19.5" hidden="false" customHeight="true" outlineLevel="0" collapsed="false">
      <c r="A180" s="27"/>
      <c r="B180" s="27"/>
      <c r="C180" s="27"/>
      <c r="D180" s="28"/>
    </row>
    <row r="181" customFormat="false" ht="19.5" hidden="false" customHeight="true" outlineLevel="0" collapsed="false">
      <c r="A181" s="7"/>
      <c r="B181" s="7"/>
      <c r="C181" s="7"/>
      <c r="D181" s="26"/>
    </row>
    <row r="182" customFormat="false" ht="19.5" hidden="false" customHeight="true" outlineLevel="0" collapsed="false">
      <c r="A182" s="27"/>
      <c r="B182" s="27"/>
      <c r="C182" s="27"/>
      <c r="D182" s="28"/>
    </row>
    <row r="183" customFormat="false" ht="19.5" hidden="false" customHeight="true" outlineLevel="0" collapsed="false">
      <c r="A183" s="7"/>
      <c r="B183" s="7"/>
      <c r="C183" s="7"/>
      <c r="D183" s="26"/>
    </row>
    <row r="184" customFormat="false" ht="19.5" hidden="false" customHeight="true" outlineLevel="0" collapsed="false">
      <c r="A184" s="27"/>
      <c r="B184" s="27"/>
      <c r="C184" s="27"/>
      <c r="D184" s="28"/>
    </row>
    <row r="185" customFormat="false" ht="19.5" hidden="false" customHeight="true" outlineLevel="0" collapsed="false">
      <c r="A185" s="7"/>
      <c r="B185" s="7"/>
      <c r="C185" s="7"/>
      <c r="D185" s="26"/>
    </row>
    <row r="186" customFormat="false" ht="19.5" hidden="false" customHeight="true" outlineLevel="0" collapsed="false">
      <c r="A186" s="27"/>
      <c r="B186" s="27"/>
      <c r="C186" s="27"/>
      <c r="D186" s="28"/>
    </row>
    <row r="187" customFormat="false" ht="19.5" hidden="false" customHeight="true" outlineLevel="0" collapsed="false">
      <c r="A187" s="7"/>
      <c r="B187" s="7"/>
      <c r="C187" s="7"/>
      <c r="D187" s="26"/>
    </row>
    <row r="188" customFormat="false" ht="19.5" hidden="false" customHeight="true" outlineLevel="0" collapsed="false">
      <c r="A188" s="27"/>
      <c r="B188" s="27"/>
      <c r="C188" s="27"/>
      <c r="D188" s="28"/>
    </row>
    <row r="189" customFormat="false" ht="19.5" hidden="false" customHeight="true" outlineLevel="0" collapsed="false">
      <c r="A189" s="7"/>
      <c r="B189" s="7"/>
      <c r="C189" s="7"/>
      <c r="D189" s="26"/>
    </row>
    <row r="190" customFormat="false" ht="19.5" hidden="false" customHeight="true" outlineLevel="0" collapsed="false">
      <c r="A190" s="27"/>
      <c r="B190" s="27"/>
      <c r="C190" s="27"/>
      <c r="D190" s="28"/>
    </row>
    <row r="191" customFormat="false" ht="19.5" hidden="false" customHeight="true" outlineLevel="0" collapsed="false">
      <c r="A191" s="7"/>
      <c r="B191" s="7"/>
      <c r="C191" s="7"/>
      <c r="D191" s="26"/>
    </row>
    <row r="192" customFormat="false" ht="19.5" hidden="false" customHeight="true" outlineLevel="0" collapsed="false">
      <c r="A192" s="27"/>
      <c r="B192" s="27"/>
      <c r="C192" s="27"/>
      <c r="D192" s="28"/>
    </row>
    <row r="193" customFormat="false" ht="19.5" hidden="false" customHeight="true" outlineLevel="0" collapsed="false">
      <c r="A193" s="7"/>
      <c r="B193" s="7"/>
      <c r="C193" s="7"/>
      <c r="D193" s="26"/>
    </row>
    <row r="194" customFormat="false" ht="19.5" hidden="false" customHeight="true" outlineLevel="0" collapsed="false">
      <c r="A194" s="27"/>
      <c r="B194" s="27"/>
      <c r="C194" s="27"/>
      <c r="D194" s="28"/>
    </row>
    <row r="195" customFormat="false" ht="19.5" hidden="false" customHeight="true" outlineLevel="0" collapsed="false">
      <c r="A195" s="7"/>
      <c r="B195" s="7"/>
      <c r="C195" s="7"/>
      <c r="D195" s="26"/>
    </row>
    <row r="196" customFormat="false" ht="19.5" hidden="false" customHeight="true" outlineLevel="0" collapsed="false">
      <c r="A196" s="27"/>
      <c r="B196" s="27"/>
      <c r="C196" s="27"/>
      <c r="D196" s="28"/>
    </row>
    <row r="197" customFormat="false" ht="19.5" hidden="false" customHeight="true" outlineLevel="0" collapsed="false">
      <c r="A197" s="7"/>
      <c r="B197" s="7"/>
      <c r="C197" s="7"/>
      <c r="D197" s="26"/>
    </row>
    <row r="198" customFormat="false" ht="19.5" hidden="false" customHeight="true" outlineLevel="0" collapsed="false">
      <c r="A198" s="27"/>
      <c r="B198" s="27"/>
      <c r="C198" s="27"/>
      <c r="D198" s="28"/>
    </row>
    <row r="199" customFormat="false" ht="19.5" hidden="false" customHeight="true" outlineLevel="0" collapsed="false">
      <c r="A199" s="7"/>
      <c r="B199" s="7"/>
      <c r="C199" s="7"/>
      <c r="D199" s="26"/>
    </row>
    <row r="200" customFormat="false" ht="19.5" hidden="false" customHeight="true" outlineLevel="0" collapsed="false">
      <c r="A200" s="27"/>
      <c r="B200" s="27"/>
      <c r="C200" s="27"/>
      <c r="D200" s="28"/>
    </row>
  </sheetData>
  <mergeCells count="3">
    <mergeCell ref="A1:D1"/>
    <mergeCell ref="A2:C2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20"/>
  </cols>
  <sheetData>
    <row r="1" customFormat="false" ht="36" hidden="false" customHeight="true" outlineLevel="0" collapsed="false">
      <c r="A1" s="29" t="s">
        <v>33</v>
      </c>
      <c r="B1" s="29"/>
      <c r="C1" s="29"/>
      <c r="D1" s="29"/>
      <c r="E1" s="29"/>
      <c r="F1" s="29"/>
    </row>
    <row r="2" customFormat="false" ht="24" hidden="false" customHeight="true" outlineLevel="0" collapsed="false">
      <c r="A2" s="30" t="s">
        <v>34</v>
      </c>
      <c r="B2" s="30"/>
      <c r="C2" s="30"/>
      <c r="D2" s="30"/>
      <c r="E2" s="30"/>
      <c r="F2" s="12" t="n">
        <f aca="false">SUM(D8:D1000)</f>
        <v>1130000</v>
      </c>
    </row>
    <row r="3" customFormat="false" ht="21.75" hidden="false" customHeight="true" outlineLevel="0" collapsed="false">
      <c r="A3" s="30" t="s">
        <v>35</v>
      </c>
      <c r="B3" s="30"/>
      <c r="C3" s="30"/>
      <c r="D3" s="30"/>
      <c r="E3" s="30"/>
      <c r="F3" s="12" t="n">
        <f aca="false">F2*0.03</f>
        <v>33900</v>
      </c>
    </row>
    <row r="4" customFormat="false" ht="21.75" hidden="false" customHeight="true" outlineLevel="0" collapsed="false">
      <c r="A4" s="30" t="s">
        <v>36</v>
      </c>
      <c r="B4" s="30"/>
      <c r="C4" s="30"/>
      <c r="D4" s="30"/>
      <c r="E4" s="30"/>
      <c r="F4" s="12" t="n">
        <f aca="false">'💸 Gastos'!D4</f>
        <v>1200000</v>
      </c>
    </row>
    <row r="5" customFormat="false" ht="27.75" hidden="false" customHeight="true" outlineLevel="0" collapsed="false">
      <c r="A5" s="31" t="s">
        <v>37</v>
      </c>
      <c r="B5" s="31"/>
      <c r="C5" s="31"/>
      <c r="D5" s="31"/>
      <c r="E5" s="31"/>
      <c r="F5" s="32" t="n">
        <f aca="false">F2-F3-F4</f>
        <v>-103900</v>
      </c>
    </row>
    <row r="6" customFormat="false" ht="21.75" hidden="false" customHeight="true" outlineLevel="0" collapsed="false">
      <c r="A6" s="11" t="s">
        <v>38</v>
      </c>
      <c r="B6" s="11"/>
      <c r="C6" s="11"/>
      <c r="D6" s="11"/>
      <c r="E6" s="11"/>
      <c r="F6" s="33" t="n">
        <f aca="false">COUNTIF(A8:A1000,"&lt;&gt;")</f>
        <v>4</v>
      </c>
    </row>
    <row r="7" customFormat="false" ht="25.5" hidden="false" customHeight="true" outlineLevel="0" collapsed="false">
      <c r="A7" s="34" t="s">
        <v>16</v>
      </c>
      <c r="B7" s="34" t="s">
        <v>39</v>
      </c>
      <c r="C7" s="34" t="s">
        <v>40</v>
      </c>
      <c r="D7" s="35" t="s">
        <v>19</v>
      </c>
      <c r="E7" s="34" t="s">
        <v>41</v>
      </c>
      <c r="F7" s="34" t="s">
        <v>42</v>
      </c>
    </row>
    <row r="8" customFormat="false" ht="19.5" hidden="false" customHeight="true" outlineLevel="0" collapsed="false">
      <c r="A8" s="27" t="s">
        <v>43</v>
      </c>
      <c r="B8" s="27" t="s">
        <v>44</v>
      </c>
      <c r="C8" s="27" t="s">
        <v>45</v>
      </c>
      <c r="D8" s="28" t="n">
        <v>280000</v>
      </c>
      <c r="E8" s="36" t="s">
        <v>46</v>
      </c>
      <c r="F8" s="27"/>
    </row>
    <row r="9" customFormat="false" ht="19.5" hidden="false" customHeight="true" outlineLevel="0" collapsed="false">
      <c r="A9" s="7" t="s">
        <v>43</v>
      </c>
      <c r="B9" s="7" t="s">
        <v>44</v>
      </c>
      <c r="C9" s="7" t="s">
        <v>45</v>
      </c>
      <c r="D9" s="26" t="n">
        <v>280000</v>
      </c>
      <c r="E9" s="37" t="s">
        <v>46</v>
      </c>
      <c r="F9" s="7"/>
    </row>
    <row r="10" customFormat="false" ht="19.5" hidden="false" customHeight="true" outlineLevel="0" collapsed="false">
      <c r="A10" s="27" t="s">
        <v>47</v>
      </c>
      <c r="B10" s="27" t="s">
        <v>48</v>
      </c>
      <c r="C10" s="27" t="s">
        <v>49</v>
      </c>
      <c r="D10" s="28" t="n">
        <v>320000</v>
      </c>
      <c r="E10" s="36" t="s">
        <v>50</v>
      </c>
      <c r="F10" s="27"/>
    </row>
    <row r="11" customFormat="false" ht="19.5" hidden="false" customHeight="true" outlineLevel="0" collapsed="false">
      <c r="A11" s="7" t="s">
        <v>51</v>
      </c>
      <c r="B11" s="7" t="s">
        <v>52</v>
      </c>
      <c r="C11" s="7" t="s">
        <v>53</v>
      </c>
      <c r="D11" s="26" t="n">
        <v>250000</v>
      </c>
      <c r="E11" s="37" t="s">
        <v>54</v>
      </c>
      <c r="F11" s="7" t="s">
        <v>55</v>
      </c>
    </row>
    <row r="12" customFormat="false" ht="19.5" hidden="false" customHeight="true" outlineLevel="0" collapsed="false">
      <c r="A12" s="27"/>
      <c r="B12" s="27"/>
      <c r="C12" s="27"/>
      <c r="D12" s="28"/>
      <c r="E12" s="27"/>
      <c r="F12" s="27"/>
    </row>
    <row r="13" customFormat="false" ht="19.5" hidden="false" customHeight="true" outlineLevel="0" collapsed="false">
      <c r="A13" s="7"/>
      <c r="B13" s="7"/>
      <c r="C13" s="7"/>
      <c r="D13" s="26"/>
      <c r="E13" s="7"/>
      <c r="F13" s="7"/>
    </row>
    <row r="14" customFormat="false" ht="19.5" hidden="false" customHeight="true" outlineLevel="0" collapsed="false">
      <c r="A14" s="27"/>
      <c r="B14" s="27"/>
      <c r="C14" s="27"/>
      <c r="D14" s="28"/>
      <c r="E14" s="27"/>
      <c r="F14" s="27"/>
    </row>
    <row r="15" customFormat="false" ht="19.5" hidden="false" customHeight="true" outlineLevel="0" collapsed="false">
      <c r="A15" s="7"/>
      <c r="B15" s="7"/>
      <c r="C15" s="7"/>
      <c r="D15" s="26"/>
      <c r="E15" s="7"/>
      <c r="F15" s="7"/>
    </row>
    <row r="16" customFormat="false" ht="19.5" hidden="false" customHeight="true" outlineLevel="0" collapsed="false">
      <c r="A16" s="27"/>
      <c r="B16" s="27"/>
      <c r="C16" s="27"/>
      <c r="D16" s="28"/>
      <c r="E16" s="27"/>
      <c r="F16" s="27"/>
    </row>
    <row r="17" customFormat="false" ht="19.5" hidden="false" customHeight="true" outlineLevel="0" collapsed="false">
      <c r="A17" s="7"/>
      <c r="B17" s="7"/>
      <c r="C17" s="7"/>
      <c r="D17" s="26"/>
      <c r="E17" s="7"/>
      <c r="F17" s="7"/>
    </row>
    <row r="18" customFormat="false" ht="19.5" hidden="false" customHeight="true" outlineLevel="0" collapsed="false">
      <c r="A18" s="27"/>
      <c r="B18" s="27"/>
      <c r="C18" s="27"/>
      <c r="D18" s="28"/>
      <c r="E18" s="27"/>
      <c r="F18" s="27"/>
    </row>
    <row r="19" customFormat="false" ht="19.5" hidden="false" customHeight="true" outlineLevel="0" collapsed="false">
      <c r="A19" s="7"/>
      <c r="B19" s="7"/>
      <c r="C19" s="7"/>
      <c r="D19" s="26"/>
      <c r="E19" s="7"/>
      <c r="F19" s="7"/>
    </row>
    <row r="20" customFormat="false" ht="19.5" hidden="false" customHeight="true" outlineLevel="0" collapsed="false">
      <c r="A20" s="27"/>
      <c r="B20" s="27"/>
      <c r="C20" s="27"/>
      <c r="D20" s="28"/>
      <c r="E20" s="27"/>
      <c r="F20" s="27"/>
    </row>
    <row r="21" customFormat="false" ht="19.5" hidden="false" customHeight="true" outlineLevel="0" collapsed="false">
      <c r="A21" s="7"/>
      <c r="B21" s="7"/>
      <c r="C21" s="7"/>
      <c r="D21" s="26"/>
      <c r="E21" s="7"/>
      <c r="F21" s="7"/>
    </row>
    <row r="22" customFormat="false" ht="19.5" hidden="false" customHeight="true" outlineLevel="0" collapsed="false">
      <c r="A22" s="27"/>
      <c r="B22" s="27"/>
      <c r="C22" s="27"/>
      <c r="D22" s="28"/>
      <c r="E22" s="27"/>
      <c r="F22" s="27"/>
    </row>
    <row r="23" customFormat="false" ht="19.5" hidden="false" customHeight="true" outlineLevel="0" collapsed="false">
      <c r="A23" s="7"/>
      <c r="B23" s="7"/>
      <c r="C23" s="7"/>
      <c r="D23" s="26"/>
      <c r="E23" s="7"/>
      <c r="F23" s="7"/>
    </row>
    <row r="24" customFormat="false" ht="19.5" hidden="false" customHeight="true" outlineLevel="0" collapsed="false">
      <c r="A24" s="27"/>
      <c r="B24" s="27"/>
      <c r="C24" s="27"/>
      <c r="D24" s="28"/>
      <c r="E24" s="27"/>
      <c r="F24" s="27"/>
    </row>
    <row r="25" customFormat="false" ht="19.5" hidden="false" customHeight="true" outlineLevel="0" collapsed="false">
      <c r="A25" s="7"/>
      <c r="B25" s="7"/>
      <c r="C25" s="7"/>
      <c r="D25" s="26"/>
      <c r="E25" s="7"/>
      <c r="F25" s="7"/>
    </row>
    <row r="26" customFormat="false" ht="19.5" hidden="false" customHeight="true" outlineLevel="0" collapsed="false">
      <c r="A26" s="27"/>
      <c r="B26" s="27"/>
      <c r="C26" s="27"/>
      <c r="D26" s="28"/>
      <c r="E26" s="27"/>
      <c r="F26" s="27"/>
    </row>
    <row r="27" customFormat="false" ht="19.5" hidden="false" customHeight="true" outlineLevel="0" collapsed="false">
      <c r="A27" s="7"/>
      <c r="B27" s="7"/>
      <c r="C27" s="7"/>
      <c r="D27" s="26"/>
      <c r="E27" s="7"/>
      <c r="F27" s="7"/>
    </row>
    <row r="28" customFormat="false" ht="19.5" hidden="false" customHeight="true" outlineLevel="0" collapsed="false">
      <c r="A28" s="27"/>
      <c r="B28" s="27"/>
      <c r="C28" s="27"/>
      <c r="D28" s="28"/>
      <c r="E28" s="27"/>
      <c r="F28" s="27"/>
    </row>
    <row r="29" customFormat="false" ht="19.5" hidden="false" customHeight="true" outlineLevel="0" collapsed="false">
      <c r="A29" s="7"/>
      <c r="B29" s="7"/>
      <c r="C29" s="7"/>
      <c r="D29" s="26"/>
      <c r="E29" s="7"/>
      <c r="F29" s="7"/>
    </row>
    <row r="30" customFormat="false" ht="19.5" hidden="false" customHeight="true" outlineLevel="0" collapsed="false">
      <c r="A30" s="27"/>
      <c r="B30" s="27"/>
      <c r="C30" s="27"/>
      <c r="D30" s="28"/>
      <c r="E30" s="27"/>
      <c r="F30" s="27"/>
    </row>
    <row r="31" customFormat="false" ht="19.5" hidden="false" customHeight="true" outlineLevel="0" collapsed="false">
      <c r="A31" s="7"/>
      <c r="B31" s="7"/>
      <c r="C31" s="7"/>
      <c r="D31" s="26"/>
      <c r="E31" s="7"/>
      <c r="F31" s="7"/>
    </row>
    <row r="32" customFormat="false" ht="19.5" hidden="false" customHeight="true" outlineLevel="0" collapsed="false">
      <c r="A32" s="27"/>
      <c r="B32" s="27"/>
      <c r="C32" s="27"/>
      <c r="D32" s="28"/>
      <c r="E32" s="27"/>
      <c r="F32" s="27"/>
    </row>
    <row r="33" customFormat="false" ht="19.5" hidden="false" customHeight="true" outlineLevel="0" collapsed="false">
      <c r="A33" s="7"/>
      <c r="B33" s="7"/>
      <c r="C33" s="7"/>
      <c r="D33" s="26"/>
      <c r="E33" s="7"/>
      <c r="F33" s="7"/>
    </row>
    <row r="34" customFormat="false" ht="19.5" hidden="false" customHeight="true" outlineLevel="0" collapsed="false">
      <c r="A34" s="27"/>
      <c r="B34" s="27"/>
      <c r="C34" s="27"/>
      <c r="D34" s="28"/>
      <c r="E34" s="27"/>
      <c r="F34" s="27"/>
    </row>
    <row r="35" customFormat="false" ht="19.5" hidden="false" customHeight="true" outlineLevel="0" collapsed="false">
      <c r="A35" s="7"/>
      <c r="B35" s="7"/>
      <c r="C35" s="7"/>
      <c r="D35" s="26"/>
      <c r="E35" s="7"/>
      <c r="F35" s="7"/>
    </row>
    <row r="36" customFormat="false" ht="19.5" hidden="false" customHeight="true" outlineLevel="0" collapsed="false">
      <c r="A36" s="27"/>
      <c r="B36" s="27"/>
      <c r="C36" s="27"/>
      <c r="D36" s="28"/>
      <c r="E36" s="27"/>
      <c r="F36" s="27"/>
    </row>
    <row r="37" customFormat="false" ht="19.5" hidden="false" customHeight="true" outlineLevel="0" collapsed="false">
      <c r="A37" s="7"/>
      <c r="B37" s="7"/>
      <c r="C37" s="7"/>
      <c r="D37" s="26"/>
      <c r="E37" s="7"/>
      <c r="F37" s="7"/>
    </row>
    <row r="38" customFormat="false" ht="19.5" hidden="false" customHeight="true" outlineLevel="0" collapsed="false">
      <c r="A38" s="27"/>
      <c r="B38" s="27"/>
      <c r="C38" s="27"/>
      <c r="D38" s="28"/>
      <c r="E38" s="27"/>
      <c r="F38" s="27"/>
    </row>
    <row r="39" customFormat="false" ht="19.5" hidden="false" customHeight="true" outlineLevel="0" collapsed="false">
      <c r="A39" s="7"/>
      <c r="B39" s="7"/>
      <c r="C39" s="7"/>
      <c r="D39" s="26"/>
      <c r="E39" s="7"/>
      <c r="F39" s="7"/>
    </row>
    <row r="40" customFormat="false" ht="19.5" hidden="false" customHeight="true" outlineLevel="0" collapsed="false">
      <c r="A40" s="27"/>
      <c r="B40" s="27"/>
      <c r="C40" s="27"/>
      <c r="D40" s="28"/>
      <c r="E40" s="27"/>
      <c r="F40" s="27"/>
    </row>
    <row r="41" customFormat="false" ht="19.5" hidden="false" customHeight="true" outlineLevel="0" collapsed="false">
      <c r="A41" s="7"/>
      <c r="B41" s="7"/>
      <c r="C41" s="7"/>
      <c r="D41" s="26"/>
      <c r="E41" s="7"/>
      <c r="F41" s="7"/>
    </row>
    <row r="42" customFormat="false" ht="19.5" hidden="false" customHeight="true" outlineLevel="0" collapsed="false">
      <c r="A42" s="27"/>
      <c r="B42" s="27"/>
      <c r="C42" s="27"/>
      <c r="D42" s="28"/>
      <c r="E42" s="27"/>
      <c r="F42" s="27"/>
    </row>
    <row r="43" customFormat="false" ht="19.5" hidden="false" customHeight="true" outlineLevel="0" collapsed="false">
      <c r="A43" s="7"/>
      <c r="B43" s="7"/>
      <c r="C43" s="7"/>
      <c r="D43" s="26"/>
      <c r="E43" s="7"/>
      <c r="F43" s="7"/>
    </row>
    <row r="44" customFormat="false" ht="19.5" hidden="false" customHeight="true" outlineLevel="0" collapsed="false">
      <c r="A44" s="27"/>
      <c r="B44" s="27"/>
      <c r="C44" s="27"/>
      <c r="D44" s="28"/>
      <c r="E44" s="27"/>
      <c r="F44" s="27"/>
    </row>
    <row r="45" customFormat="false" ht="19.5" hidden="false" customHeight="true" outlineLevel="0" collapsed="false">
      <c r="A45" s="7"/>
      <c r="B45" s="7"/>
      <c r="C45" s="7"/>
      <c r="D45" s="26"/>
      <c r="E45" s="7"/>
      <c r="F45" s="7"/>
    </row>
    <row r="46" customFormat="false" ht="19.5" hidden="false" customHeight="true" outlineLevel="0" collapsed="false">
      <c r="A46" s="27"/>
      <c r="B46" s="27"/>
      <c r="C46" s="27"/>
      <c r="D46" s="28"/>
      <c r="E46" s="27"/>
      <c r="F46" s="27"/>
    </row>
    <row r="47" customFormat="false" ht="19.5" hidden="false" customHeight="true" outlineLevel="0" collapsed="false">
      <c r="A47" s="7"/>
      <c r="B47" s="7"/>
      <c r="C47" s="7"/>
      <c r="D47" s="26"/>
      <c r="E47" s="7"/>
      <c r="F47" s="7"/>
    </row>
    <row r="48" customFormat="false" ht="19.5" hidden="false" customHeight="true" outlineLevel="0" collapsed="false">
      <c r="A48" s="27"/>
      <c r="B48" s="27"/>
      <c r="C48" s="27"/>
      <c r="D48" s="28"/>
      <c r="E48" s="27"/>
      <c r="F48" s="27"/>
    </row>
    <row r="49" customFormat="false" ht="19.5" hidden="false" customHeight="true" outlineLevel="0" collapsed="false">
      <c r="A49" s="7"/>
      <c r="B49" s="7"/>
      <c r="C49" s="7"/>
      <c r="D49" s="26"/>
      <c r="E49" s="7"/>
      <c r="F49" s="7"/>
    </row>
    <row r="50" customFormat="false" ht="19.5" hidden="false" customHeight="true" outlineLevel="0" collapsed="false">
      <c r="A50" s="27"/>
      <c r="B50" s="27"/>
      <c r="C50" s="27"/>
      <c r="D50" s="28"/>
      <c r="E50" s="27"/>
      <c r="F50" s="27"/>
    </row>
    <row r="51" customFormat="false" ht="19.5" hidden="false" customHeight="true" outlineLevel="0" collapsed="false">
      <c r="A51" s="7"/>
      <c r="B51" s="7"/>
      <c r="C51" s="7"/>
      <c r="D51" s="26"/>
      <c r="E51" s="7"/>
      <c r="F51" s="7"/>
    </row>
    <row r="52" customFormat="false" ht="19.5" hidden="false" customHeight="true" outlineLevel="0" collapsed="false">
      <c r="A52" s="27"/>
      <c r="B52" s="27"/>
      <c r="C52" s="27"/>
      <c r="D52" s="28"/>
      <c r="E52" s="27"/>
      <c r="F52" s="27"/>
    </row>
    <row r="53" customFormat="false" ht="19.5" hidden="false" customHeight="true" outlineLevel="0" collapsed="false">
      <c r="A53" s="7"/>
      <c r="B53" s="7"/>
      <c r="C53" s="7"/>
      <c r="D53" s="26"/>
      <c r="E53" s="7"/>
      <c r="F53" s="7"/>
    </row>
    <row r="54" customFormat="false" ht="19.5" hidden="false" customHeight="true" outlineLevel="0" collapsed="false">
      <c r="A54" s="27"/>
      <c r="B54" s="27"/>
      <c r="C54" s="27"/>
      <c r="D54" s="28"/>
      <c r="E54" s="27"/>
      <c r="F54" s="27"/>
    </row>
    <row r="55" customFormat="false" ht="19.5" hidden="false" customHeight="true" outlineLevel="0" collapsed="false">
      <c r="A55" s="7"/>
      <c r="B55" s="7"/>
      <c r="C55" s="7"/>
      <c r="D55" s="26"/>
      <c r="E55" s="7"/>
      <c r="F55" s="7"/>
    </row>
    <row r="56" customFormat="false" ht="19.5" hidden="false" customHeight="true" outlineLevel="0" collapsed="false">
      <c r="A56" s="27"/>
      <c r="B56" s="27"/>
      <c r="C56" s="27"/>
      <c r="D56" s="28"/>
      <c r="E56" s="27"/>
      <c r="F56" s="27"/>
    </row>
    <row r="57" customFormat="false" ht="19.5" hidden="false" customHeight="true" outlineLevel="0" collapsed="false">
      <c r="A57" s="7"/>
      <c r="B57" s="7"/>
      <c r="C57" s="7"/>
      <c r="D57" s="26"/>
      <c r="E57" s="7"/>
      <c r="F57" s="7"/>
    </row>
    <row r="58" customFormat="false" ht="19.5" hidden="false" customHeight="true" outlineLevel="0" collapsed="false">
      <c r="A58" s="27"/>
      <c r="B58" s="27"/>
      <c r="C58" s="27"/>
      <c r="D58" s="28"/>
      <c r="E58" s="27"/>
      <c r="F58" s="27"/>
    </row>
    <row r="59" customFormat="false" ht="19.5" hidden="false" customHeight="true" outlineLevel="0" collapsed="false">
      <c r="A59" s="7"/>
      <c r="B59" s="7"/>
      <c r="C59" s="7"/>
      <c r="D59" s="26"/>
      <c r="E59" s="7"/>
      <c r="F59" s="7"/>
    </row>
    <row r="60" customFormat="false" ht="19.5" hidden="false" customHeight="true" outlineLevel="0" collapsed="false">
      <c r="A60" s="27"/>
      <c r="B60" s="27"/>
      <c r="C60" s="27"/>
      <c r="D60" s="28"/>
      <c r="E60" s="27"/>
      <c r="F60" s="27"/>
    </row>
    <row r="61" customFormat="false" ht="19.5" hidden="false" customHeight="true" outlineLevel="0" collapsed="false">
      <c r="A61" s="7"/>
      <c r="B61" s="7"/>
      <c r="C61" s="7"/>
      <c r="D61" s="26"/>
      <c r="E61" s="7"/>
      <c r="F61" s="7"/>
    </row>
    <row r="62" customFormat="false" ht="19.5" hidden="false" customHeight="true" outlineLevel="0" collapsed="false">
      <c r="A62" s="27"/>
      <c r="B62" s="27"/>
      <c r="C62" s="27"/>
      <c r="D62" s="28"/>
      <c r="E62" s="27"/>
      <c r="F62" s="27"/>
    </row>
    <row r="63" customFormat="false" ht="19.5" hidden="false" customHeight="true" outlineLevel="0" collapsed="false">
      <c r="A63" s="7"/>
      <c r="B63" s="7"/>
      <c r="C63" s="7"/>
      <c r="D63" s="26"/>
      <c r="E63" s="7"/>
      <c r="F63" s="7"/>
    </row>
    <row r="64" customFormat="false" ht="19.5" hidden="false" customHeight="true" outlineLevel="0" collapsed="false">
      <c r="A64" s="27"/>
      <c r="B64" s="27"/>
      <c r="C64" s="27"/>
      <c r="D64" s="28"/>
      <c r="E64" s="27"/>
      <c r="F64" s="27"/>
    </row>
    <row r="65" customFormat="false" ht="19.5" hidden="false" customHeight="true" outlineLevel="0" collapsed="false">
      <c r="A65" s="7"/>
      <c r="B65" s="7"/>
      <c r="C65" s="7"/>
      <c r="D65" s="26"/>
      <c r="E65" s="7"/>
      <c r="F65" s="7"/>
    </row>
    <row r="66" customFormat="false" ht="19.5" hidden="false" customHeight="true" outlineLevel="0" collapsed="false">
      <c r="A66" s="27"/>
      <c r="B66" s="27"/>
      <c r="C66" s="27"/>
      <c r="D66" s="28"/>
      <c r="E66" s="27"/>
      <c r="F66" s="27"/>
    </row>
    <row r="67" customFormat="false" ht="19.5" hidden="false" customHeight="true" outlineLevel="0" collapsed="false">
      <c r="A67" s="7"/>
      <c r="B67" s="7"/>
      <c r="C67" s="7"/>
      <c r="D67" s="26"/>
      <c r="E67" s="7"/>
      <c r="F67" s="7"/>
    </row>
    <row r="68" customFormat="false" ht="19.5" hidden="false" customHeight="true" outlineLevel="0" collapsed="false">
      <c r="A68" s="27"/>
      <c r="B68" s="27"/>
      <c r="C68" s="27"/>
      <c r="D68" s="28"/>
      <c r="E68" s="27"/>
      <c r="F68" s="27"/>
    </row>
    <row r="69" customFormat="false" ht="19.5" hidden="false" customHeight="true" outlineLevel="0" collapsed="false">
      <c r="A69" s="7"/>
      <c r="B69" s="7"/>
      <c r="C69" s="7"/>
      <c r="D69" s="26"/>
      <c r="E69" s="7"/>
      <c r="F69" s="7"/>
    </row>
    <row r="70" customFormat="false" ht="19.5" hidden="false" customHeight="true" outlineLevel="0" collapsed="false">
      <c r="A70" s="27"/>
      <c r="B70" s="27"/>
      <c r="C70" s="27"/>
      <c r="D70" s="28"/>
      <c r="E70" s="27"/>
      <c r="F70" s="27"/>
    </row>
    <row r="71" customFormat="false" ht="19.5" hidden="false" customHeight="true" outlineLevel="0" collapsed="false">
      <c r="A71" s="7"/>
      <c r="B71" s="7"/>
      <c r="C71" s="7"/>
      <c r="D71" s="26"/>
      <c r="E71" s="7"/>
      <c r="F71" s="7"/>
    </row>
    <row r="72" customFormat="false" ht="19.5" hidden="false" customHeight="true" outlineLevel="0" collapsed="false">
      <c r="A72" s="27"/>
      <c r="B72" s="27"/>
      <c r="C72" s="27"/>
      <c r="D72" s="28"/>
      <c r="E72" s="27"/>
      <c r="F72" s="27"/>
    </row>
    <row r="73" customFormat="false" ht="19.5" hidden="false" customHeight="true" outlineLevel="0" collapsed="false">
      <c r="A73" s="7"/>
      <c r="B73" s="7"/>
      <c r="C73" s="7"/>
      <c r="D73" s="26"/>
      <c r="E73" s="7"/>
      <c r="F73" s="7"/>
    </row>
    <row r="74" customFormat="false" ht="19.5" hidden="false" customHeight="true" outlineLevel="0" collapsed="false">
      <c r="A74" s="27"/>
      <c r="B74" s="27"/>
      <c r="C74" s="27"/>
      <c r="D74" s="28"/>
      <c r="E74" s="27"/>
      <c r="F74" s="27"/>
    </row>
    <row r="75" customFormat="false" ht="19.5" hidden="false" customHeight="true" outlineLevel="0" collapsed="false">
      <c r="A75" s="7"/>
      <c r="B75" s="7"/>
      <c r="C75" s="7"/>
      <c r="D75" s="26"/>
      <c r="E75" s="7"/>
      <c r="F75" s="7"/>
    </row>
    <row r="76" customFormat="false" ht="19.5" hidden="false" customHeight="true" outlineLevel="0" collapsed="false">
      <c r="A76" s="27"/>
      <c r="B76" s="27"/>
      <c r="C76" s="27"/>
      <c r="D76" s="28"/>
      <c r="E76" s="27"/>
      <c r="F76" s="27"/>
    </row>
    <row r="77" customFormat="false" ht="19.5" hidden="false" customHeight="true" outlineLevel="0" collapsed="false">
      <c r="A77" s="7"/>
      <c r="B77" s="7"/>
      <c r="C77" s="7"/>
      <c r="D77" s="26"/>
      <c r="E77" s="7"/>
      <c r="F77" s="7"/>
    </row>
    <row r="78" customFormat="false" ht="19.5" hidden="false" customHeight="true" outlineLevel="0" collapsed="false">
      <c r="A78" s="27"/>
      <c r="B78" s="27"/>
      <c r="C78" s="27"/>
      <c r="D78" s="28"/>
      <c r="E78" s="27"/>
      <c r="F78" s="27"/>
    </row>
    <row r="79" customFormat="false" ht="19.5" hidden="false" customHeight="true" outlineLevel="0" collapsed="false">
      <c r="A79" s="7"/>
      <c r="B79" s="7"/>
      <c r="C79" s="7"/>
      <c r="D79" s="26"/>
      <c r="E79" s="7"/>
      <c r="F79" s="7"/>
    </row>
    <row r="80" customFormat="false" ht="19.5" hidden="false" customHeight="true" outlineLevel="0" collapsed="false">
      <c r="A80" s="27"/>
      <c r="B80" s="27"/>
      <c r="C80" s="27"/>
      <c r="D80" s="28"/>
      <c r="E80" s="27"/>
      <c r="F80" s="27"/>
    </row>
    <row r="81" customFormat="false" ht="19.5" hidden="false" customHeight="true" outlineLevel="0" collapsed="false">
      <c r="A81" s="7"/>
      <c r="B81" s="7"/>
      <c r="C81" s="7"/>
      <c r="D81" s="26"/>
      <c r="E81" s="7"/>
      <c r="F81" s="7"/>
    </row>
    <row r="82" customFormat="false" ht="19.5" hidden="false" customHeight="true" outlineLevel="0" collapsed="false">
      <c r="A82" s="27"/>
      <c r="B82" s="27"/>
      <c r="C82" s="27"/>
      <c r="D82" s="28"/>
      <c r="E82" s="27"/>
      <c r="F82" s="27"/>
    </row>
    <row r="83" customFormat="false" ht="19.5" hidden="false" customHeight="true" outlineLevel="0" collapsed="false">
      <c r="A83" s="7"/>
      <c r="B83" s="7"/>
      <c r="C83" s="7"/>
      <c r="D83" s="26"/>
      <c r="E83" s="7"/>
      <c r="F83" s="7"/>
    </row>
    <row r="84" customFormat="false" ht="19.5" hidden="false" customHeight="true" outlineLevel="0" collapsed="false">
      <c r="A84" s="27"/>
      <c r="B84" s="27"/>
      <c r="C84" s="27"/>
      <c r="D84" s="28"/>
      <c r="E84" s="27"/>
      <c r="F84" s="27"/>
    </row>
    <row r="85" customFormat="false" ht="19.5" hidden="false" customHeight="true" outlineLevel="0" collapsed="false">
      <c r="A85" s="7"/>
      <c r="B85" s="7"/>
      <c r="C85" s="7"/>
      <c r="D85" s="26"/>
      <c r="E85" s="7"/>
      <c r="F85" s="7"/>
    </row>
    <row r="86" customFormat="false" ht="19.5" hidden="false" customHeight="true" outlineLevel="0" collapsed="false">
      <c r="A86" s="27"/>
      <c r="B86" s="27"/>
      <c r="C86" s="27"/>
      <c r="D86" s="28"/>
      <c r="E86" s="27"/>
      <c r="F86" s="27"/>
    </row>
    <row r="87" customFormat="false" ht="19.5" hidden="false" customHeight="true" outlineLevel="0" collapsed="false">
      <c r="A87" s="7"/>
      <c r="B87" s="7"/>
      <c r="C87" s="7"/>
      <c r="D87" s="26"/>
      <c r="E87" s="7"/>
      <c r="F87" s="7"/>
    </row>
    <row r="88" customFormat="false" ht="19.5" hidden="false" customHeight="true" outlineLevel="0" collapsed="false">
      <c r="A88" s="27"/>
      <c r="B88" s="27"/>
      <c r="C88" s="27"/>
      <c r="D88" s="28"/>
      <c r="E88" s="27"/>
      <c r="F88" s="27"/>
    </row>
    <row r="89" customFormat="false" ht="19.5" hidden="false" customHeight="true" outlineLevel="0" collapsed="false">
      <c r="A89" s="7"/>
      <c r="B89" s="7"/>
      <c r="C89" s="7"/>
      <c r="D89" s="26"/>
      <c r="E89" s="7"/>
      <c r="F89" s="7"/>
    </row>
    <row r="90" customFormat="false" ht="19.5" hidden="false" customHeight="true" outlineLevel="0" collapsed="false">
      <c r="A90" s="27"/>
      <c r="B90" s="27"/>
      <c r="C90" s="27"/>
      <c r="D90" s="28"/>
      <c r="E90" s="27"/>
      <c r="F90" s="27"/>
    </row>
    <row r="91" customFormat="false" ht="19.5" hidden="false" customHeight="true" outlineLevel="0" collapsed="false">
      <c r="A91" s="7"/>
      <c r="B91" s="7"/>
      <c r="C91" s="7"/>
      <c r="D91" s="26"/>
      <c r="E91" s="7"/>
      <c r="F91" s="7"/>
    </row>
    <row r="92" customFormat="false" ht="19.5" hidden="false" customHeight="true" outlineLevel="0" collapsed="false">
      <c r="A92" s="27"/>
      <c r="B92" s="27"/>
      <c r="C92" s="27"/>
      <c r="D92" s="28"/>
      <c r="E92" s="27"/>
      <c r="F92" s="27"/>
    </row>
    <row r="93" customFormat="false" ht="19.5" hidden="false" customHeight="true" outlineLevel="0" collapsed="false">
      <c r="A93" s="7"/>
      <c r="B93" s="7"/>
      <c r="C93" s="7"/>
      <c r="D93" s="26"/>
      <c r="E93" s="7"/>
      <c r="F93" s="7"/>
    </row>
    <row r="94" customFormat="false" ht="19.5" hidden="false" customHeight="true" outlineLevel="0" collapsed="false">
      <c r="A94" s="27"/>
      <c r="B94" s="27"/>
      <c r="C94" s="27"/>
      <c r="D94" s="28"/>
      <c r="E94" s="27"/>
      <c r="F94" s="27"/>
    </row>
    <row r="95" customFormat="false" ht="19.5" hidden="false" customHeight="true" outlineLevel="0" collapsed="false">
      <c r="A95" s="7"/>
      <c r="B95" s="7"/>
      <c r="C95" s="7"/>
      <c r="D95" s="26"/>
      <c r="E95" s="7"/>
      <c r="F95" s="7"/>
    </row>
    <row r="96" customFormat="false" ht="19.5" hidden="false" customHeight="true" outlineLevel="0" collapsed="false">
      <c r="A96" s="27"/>
      <c r="B96" s="27"/>
      <c r="C96" s="27"/>
      <c r="D96" s="28"/>
      <c r="E96" s="27"/>
      <c r="F96" s="27"/>
    </row>
    <row r="97" customFormat="false" ht="19.5" hidden="false" customHeight="true" outlineLevel="0" collapsed="false">
      <c r="A97" s="7"/>
      <c r="B97" s="7"/>
      <c r="C97" s="7"/>
      <c r="D97" s="26"/>
      <c r="E97" s="7"/>
      <c r="F97" s="7"/>
    </row>
    <row r="98" customFormat="false" ht="19.5" hidden="false" customHeight="true" outlineLevel="0" collapsed="false">
      <c r="A98" s="27"/>
      <c r="B98" s="27"/>
      <c r="C98" s="27"/>
      <c r="D98" s="28"/>
      <c r="E98" s="27"/>
      <c r="F98" s="27"/>
    </row>
    <row r="99" customFormat="false" ht="19.5" hidden="false" customHeight="true" outlineLevel="0" collapsed="false">
      <c r="A99" s="7"/>
      <c r="B99" s="7"/>
      <c r="C99" s="7"/>
      <c r="D99" s="26"/>
      <c r="E99" s="7"/>
      <c r="F99" s="7"/>
    </row>
    <row r="100" customFormat="false" ht="19.5" hidden="false" customHeight="true" outlineLevel="0" collapsed="false">
      <c r="A100" s="27"/>
      <c r="B100" s="27"/>
      <c r="C100" s="27"/>
      <c r="D100" s="28"/>
      <c r="E100" s="27"/>
      <c r="F100" s="27"/>
    </row>
    <row r="101" customFormat="false" ht="19.5" hidden="false" customHeight="true" outlineLevel="0" collapsed="false">
      <c r="A101" s="7"/>
      <c r="B101" s="7"/>
      <c r="C101" s="7"/>
      <c r="D101" s="26"/>
      <c r="E101" s="7"/>
      <c r="F101" s="7"/>
    </row>
    <row r="102" customFormat="false" ht="19.5" hidden="false" customHeight="true" outlineLevel="0" collapsed="false">
      <c r="A102" s="27"/>
      <c r="B102" s="27"/>
      <c r="C102" s="27"/>
      <c r="D102" s="28"/>
      <c r="E102" s="27"/>
      <c r="F102" s="27"/>
    </row>
    <row r="103" customFormat="false" ht="19.5" hidden="false" customHeight="true" outlineLevel="0" collapsed="false">
      <c r="A103" s="7"/>
      <c r="B103" s="7"/>
      <c r="C103" s="7"/>
      <c r="D103" s="26"/>
      <c r="E103" s="7"/>
      <c r="F103" s="7"/>
    </row>
    <row r="104" customFormat="false" ht="19.5" hidden="false" customHeight="true" outlineLevel="0" collapsed="false">
      <c r="A104" s="27"/>
      <c r="B104" s="27"/>
      <c r="C104" s="27"/>
      <c r="D104" s="28"/>
      <c r="E104" s="27"/>
      <c r="F104" s="27"/>
    </row>
    <row r="105" customFormat="false" ht="19.5" hidden="false" customHeight="true" outlineLevel="0" collapsed="false">
      <c r="A105" s="7"/>
      <c r="B105" s="7"/>
      <c r="C105" s="7"/>
      <c r="D105" s="26"/>
      <c r="E105" s="7"/>
      <c r="F105" s="7"/>
    </row>
    <row r="106" customFormat="false" ht="19.5" hidden="false" customHeight="true" outlineLevel="0" collapsed="false">
      <c r="A106" s="27"/>
      <c r="B106" s="27"/>
      <c r="C106" s="27"/>
      <c r="D106" s="28"/>
      <c r="E106" s="27"/>
      <c r="F106" s="27"/>
    </row>
    <row r="107" customFormat="false" ht="19.5" hidden="false" customHeight="true" outlineLevel="0" collapsed="false">
      <c r="A107" s="7"/>
      <c r="B107" s="7"/>
      <c r="C107" s="7"/>
      <c r="D107" s="26"/>
      <c r="E107" s="7"/>
      <c r="F107" s="7"/>
    </row>
    <row r="108" customFormat="false" ht="19.5" hidden="false" customHeight="true" outlineLevel="0" collapsed="false">
      <c r="A108" s="27"/>
      <c r="B108" s="27"/>
      <c r="C108" s="27"/>
      <c r="D108" s="28"/>
      <c r="E108" s="27"/>
      <c r="F108" s="27"/>
    </row>
    <row r="109" customFormat="false" ht="19.5" hidden="false" customHeight="true" outlineLevel="0" collapsed="false">
      <c r="A109" s="7"/>
      <c r="B109" s="7"/>
      <c r="C109" s="7"/>
      <c r="D109" s="26"/>
      <c r="E109" s="7"/>
      <c r="F109" s="7"/>
    </row>
    <row r="110" customFormat="false" ht="19.5" hidden="false" customHeight="true" outlineLevel="0" collapsed="false">
      <c r="A110" s="27"/>
      <c r="B110" s="27"/>
      <c r="C110" s="27"/>
      <c r="D110" s="28"/>
      <c r="E110" s="27"/>
      <c r="F110" s="27"/>
    </row>
    <row r="111" customFormat="false" ht="19.5" hidden="false" customHeight="true" outlineLevel="0" collapsed="false">
      <c r="A111" s="7"/>
      <c r="B111" s="7"/>
      <c r="C111" s="7"/>
      <c r="D111" s="26"/>
      <c r="E111" s="7"/>
      <c r="F111" s="7"/>
    </row>
    <row r="112" customFormat="false" ht="19.5" hidden="false" customHeight="true" outlineLevel="0" collapsed="false">
      <c r="A112" s="27"/>
      <c r="B112" s="27"/>
      <c r="C112" s="27"/>
      <c r="D112" s="28"/>
      <c r="E112" s="27"/>
      <c r="F112" s="27"/>
    </row>
    <row r="113" customFormat="false" ht="19.5" hidden="false" customHeight="true" outlineLevel="0" collapsed="false">
      <c r="A113" s="7"/>
      <c r="B113" s="7"/>
      <c r="C113" s="7"/>
      <c r="D113" s="26"/>
      <c r="E113" s="7"/>
      <c r="F113" s="7"/>
    </row>
    <row r="114" customFormat="false" ht="19.5" hidden="false" customHeight="true" outlineLevel="0" collapsed="false">
      <c r="A114" s="27"/>
      <c r="B114" s="27"/>
      <c r="C114" s="27"/>
      <c r="D114" s="28"/>
      <c r="E114" s="27"/>
      <c r="F114" s="27"/>
    </row>
    <row r="115" customFormat="false" ht="19.5" hidden="false" customHeight="true" outlineLevel="0" collapsed="false">
      <c r="A115" s="7"/>
      <c r="B115" s="7"/>
      <c r="C115" s="7"/>
      <c r="D115" s="26"/>
      <c r="E115" s="7"/>
      <c r="F115" s="7"/>
    </row>
    <row r="116" customFormat="false" ht="19.5" hidden="false" customHeight="true" outlineLevel="0" collapsed="false">
      <c r="A116" s="27"/>
      <c r="B116" s="27"/>
      <c r="C116" s="27"/>
      <c r="D116" s="28"/>
      <c r="E116" s="27"/>
      <c r="F116" s="27"/>
    </row>
    <row r="117" customFormat="false" ht="19.5" hidden="false" customHeight="true" outlineLevel="0" collapsed="false">
      <c r="A117" s="7"/>
      <c r="B117" s="7"/>
      <c r="C117" s="7"/>
      <c r="D117" s="26"/>
      <c r="E117" s="7"/>
      <c r="F117" s="7"/>
    </row>
    <row r="118" customFormat="false" ht="19.5" hidden="false" customHeight="true" outlineLevel="0" collapsed="false">
      <c r="A118" s="27"/>
      <c r="B118" s="27"/>
      <c r="C118" s="27"/>
      <c r="D118" s="28"/>
      <c r="E118" s="27"/>
      <c r="F118" s="27"/>
    </row>
    <row r="119" customFormat="false" ht="19.5" hidden="false" customHeight="true" outlineLevel="0" collapsed="false">
      <c r="A119" s="7"/>
      <c r="B119" s="7"/>
      <c r="C119" s="7"/>
      <c r="D119" s="26"/>
      <c r="E119" s="7"/>
      <c r="F119" s="7"/>
    </row>
    <row r="120" customFormat="false" ht="19.5" hidden="false" customHeight="true" outlineLevel="0" collapsed="false">
      <c r="A120" s="27"/>
      <c r="B120" s="27"/>
      <c r="C120" s="27"/>
      <c r="D120" s="28"/>
      <c r="E120" s="27"/>
      <c r="F120" s="27"/>
    </row>
    <row r="121" customFormat="false" ht="19.5" hidden="false" customHeight="true" outlineLevel="0" collapsed="false">
      <c r="A121" s="7"/>
      <c r="B121" s="7"/>
      <c r="C121" s="7"/>
      <c r="D121" s="26"/>
      <c r="E121" s="7"/>
      <c r="F121" s="7"/>
    </row>
    <row r="122" customFormat="false" ht="19.5" hidden="false" customHeight="true" outlineLevel="0" collapsed="false">
      <c r="A122" s="27"/>
      <c r="B122" s="27"/>
      <c r="C122" s="27"/>
      <c r="D122" s="28"/>
      <c r="E122" s="27"/>
      <c r="F122" s="27"/>
    </row>
    <row r="123" customFormat="false" ht="19.5" hidden="false" customHeight="true" outlineLevel="0" collapsed="false">
      <c r="A123" s="7"/>
      <c r="B123" s="7"/>
      <c r="C123" s="7"/>
      <c r="D123" s="26"/>
      <c r="E123" s="7"/>
      <c r="F123" s="7"/>
    </row>
    <row r="124" customFormat="false" ht="19.5" hidden="false" customHeight="true" outlineLevel="0" collapsed="false">
      <c r="A124" s="27"/>
      <c r="B124" s="27"/>
      <c r="C124" s="27"/>
      <c r="D124" s="28"/>
      <c r="E124" s="27"/>
      <c r="F124" s="27"/>
    </row>
    <row r="125" customFormat="false" ht="19.5" hidden="false" customHeight="true" outlineLevel="0" collapsed="false">
      <c r="A125" s="7"/>
      <c r="B125" s="7"/>
      <c r="C125" s="7"/>
      <c r="D125" s="26"/>
      <c r="E125" s="7"/>
      <c r="F125" s="7"/>
    </row>
    <row r="126" customFormat="false" ht="19.5" hidden="false" customHeight="true" outlineLevel="0" collapsed="false">
      <c r="A126" s="27"/>
      <c r="B126" s="27"/>
      <c r="C126" s="27"/>
      <c r="D126" s="28"/>
      <c r="E126" s="27"/>
      <c r="F126" s="27"/>
    </row>
    <row r="127" customFormat="false" ht="19.5" hidden="false" customHeight="true" outlineLevel="0" collapsed="false">
      <c r="A127" s="7"/>
      <c r="B127" s="7"/>
      <c r="C127" s="7"/>
      <c r="D127" s="26"/>
      <c r="E127" s="7"/>
      <c r="F127" s="7"/>
    </row>
    <row r="128" customFormat="false" ht="19.5" hidden="false" customHeight="true" outlineLevel="0" collapsed="false">
      <c r="A128" s="27"/>
      <c r="B128" s="27"/>
      <c r="C128" s="27"/>
      <c r="D128" s="28"/>
      <c r="E128" s="27"/>
      <c r="F128" s="27"/>
    </row>
    <row r="129" customFormat="false" ht="19.5" hidden="false" customHeight="true" outlineLevel="0" collapsed="false">
      <c r="A129" s="7"/>
      <c r="B129" s="7"/>
      <c r="C129" s="7"/>
      <c r="D129" s="26"/>
      <c r="E129" s="7"/>
      <c r="F129" s="7"/>
    </row>
    <row r="130" customFormat="false" ht="19.5" hidden="false" customHeight="true" outlineLevel="0" collapsed="false">
      <c r="A130" s="27"/>
      <c r="B130" s="27"/>
      <c r="C130" s="27"/>
      <c r="D130" s="28"/>
      <c r="E130" s="27"/>
      <c r="F130" s="27"/>
    </row>
    <row r="131" customFormat="false" ht="19.5" hidden="false" customHeight="true" outlineLevel="0" collapsed="false">
      <c r="A131" s="7"/>
      <c r="B131" s="7"/>
      <c r="C131" s="7"/>
      <c r="D131" s="26"/>
      <c r="E131" s="7"/>
      <c r="F131" s="7"/>
    </row>
    <row r="132" customFormat="false" ht="19.5" hidden="false" customHeight="true" outlineLevel="0" collapsed="false">
      <c r="A132" s="27"/>
      <c r="B132" s="27"/>
      <c r="C132" s="27"/>
      <c r="D132" s="28"/>
      <c r="E132" s="27"/>
      <c r="F132" s="27"/>
    </row>
    <row r="133" customFormat="false" ht="19.5" hidden="false" customHeight="true" outlineLevel="0" collapsed="false">
      <c r="A133" s="7"/>
      <c r="B133" s="7"/>
      <c r="C133" s="7"/>
      <c r="D133" s="26"/>
      <c r="E133" s="7"/>
      <c r="F133" s="7"/>
    </row>
    <row r="134" customFormat="false" ht="19.5" hidden="false" customHeight="true" outlineLevel="0" collapsed="false">
      <c r="A134" s="27"/>
      <c r="B134" s="27"/>
      <c r="C134" s="27"/>
      <c r="D134" s="28"/>
      <c r="E134" s="27"/>
      <c r="F134" s="27"/>
    </row>
    <row r="135" customFormat="false" ht="19.5" hidden="false" customHeight="true" outlineLevel="0" collapsed="false">
      <c r="A135" s="7"/>
      <c r="B135" s="7"/>
      <c r="C135" s="7"/>
      <c r="D135" s="26"/>
      <c r="E135" s="7"/>
      <c r="F135" s="7"/>
    </row>
    <row r="136" customFormat="false" ht="19.5" hidden="false" customHeight="true" outlineLevel="0" collapsed="false">
      <c r="A136" s="27"/>
      <c r="B136" s="27"/>
      <c r="C136" s="27"/>
      <c r="D136" s="28"/>
      <c r="E136" s="27"/>
      <c r="F136" s="27"/>
    </row>
    <row r="137" customFormat="false" ht="19.5" hidden="false" customHeight="true" outlineLevel="0" collapsed="false">
      <c r="A137" s="7"/>
      <c r="B137" s="7"/>
      <c r="C137" s="7"/>
      <c r="D137" s="26"/>
      <c r="E137" s="7"/>
      <c r="F137" s="7"/>
    </row>
    <row r="138" customFormat="false" ht="19.5" hidden="false" customHeight="true" outlineLevel="0" collapsed="false">
      <c r="A138" s="27"/>
      <c r="B138" s="27"/>
      <c r="C138" s="27"/>
      <c r="D138" s="28"/>
      <c r="E138" s="27"/>
      <c r="F138" s="27"/>
    </row>
    <row r="139" customFormat="false" ht="19.5" hidden="false" customHeight="true" outlineLevel="0" collapsed="false">
      <c r="A139" s="7"/>
      <c r="B139" s="7"/>
      <c r="C139" s="7"/>
      <c r="D139" s="26"/>
      <c r="E139" s="7"/>
      <c r="F139" s="7"/>
    </row>
    <row r="140" customFormat="false" ht="19.5" hidden="false" customHeight="true" outlineLevel="0" collapsed="false">
      <c r="A140" s="27"/>
      <c r="B140" s="27"/>
      <c r="C140" s="27"/>
      <c r="D140" s="28"/>
      <c r="E140" s="27"/>
      <c r="F140" s="27"/>
    </row>
    <row r="141" customFormat="false" ht="19.5" hidden="false" customHeight="true" outlineLevel="0" collapsed="false">
      <c r="A141" s="7"/>
      <c r="B141" s="7"/>
      <c r="C141" s="7"/>
      <c r="D141" s="26"/>
      <c r="E141" s="7"/>
      <c r="F141" s="7"/>
    </row>
    <row r="142" customFormat="false" ht="19.5" hidden="false" customHeight="true" outlineLevel="0" collapsed="false">
      <c r="A142" s="27"/>
      <c r="B142" s="27"/>
      <c r="C142" s="27"/>
      <c r="D142" s="28"/>
      <c r="E142" s="27"/>
      <c r="F142" s="27"/>
    </row>
    <row r="143" customFormat="false" ht="19.5" hidden="false" customHeight="true" outlineLevel="0" collapsed="false">
      <c r="A143" s="7"/>
      <c r="B143" s="7"/>
      <c r="C143" s="7"/>
      <c r="D143" s="26"/>
      <c r="E143" s="7"/>
      <c r="F143" s="7"/>
    </row>
    <row r="144" customFormat="false" ht="19.5" hidden="false" customHeight="true" outlineLevel="0" collapsed="false">
      <c r="A144" s="27"/>
      <c r="B144" s="27"/>
      <c r="C144" s="27"/>
      <c r="D144" s="28"/>
      <c r="E144" s="27"/>
      <c r="F144" s="27"/>
    </row>
    <row r="145" customFormat="false" ht="19.5" hidden="false" customHeight="true" outlineLevel="0" collapsed="false">
      <c r="A145" s="7"/>
      <c r="B145" s="7"/>
      <c r="C145" s="7"/>
      <c r="D145" s="26"/>
      <c r="E145" s="7"/>
      <c r="F145" s="7"/>
    </row>
    <row r="146" customFormat="false" ht="19.5" hidden="false" customHeight="true" outlineLevel="0" collapsed="false">
      <c r="A146" s="27"/>
      <c r="B146" s="27"/>
      <c r="C146" s="27"/>
      <c r="D146" s="28"/>
      <c r="E146" s="27"/>
      <c r="F146" s="27"/>
    </row>
    <row r="147" customFormat="false" ht="19.5" hidden="false" customHeight="true" outlineLevel="0" collapsed="false">
      <c r="A147" s="7"/>
      <c r="B147" s="7"/>
      <c r="C147" s="7"/>
      <c r="D147" s="26"/>
      <c r="E147" s="7"/>
      <c r="F147" s="7"/>
    </row>
    <row r="148" customFormat="false" ht="19.5" hidden="false" customHeight="true" outlineLevel="0" collapsed="false">
      <c r="A148" s="27"/>
      <c r="B148" s="27"/>
      <c r="C148" s="27"/>
      <c r="D148" s="28"/>
      <c r="E148" s="27"/>
      <c r="F148" s="27"/>
    </row>
    <row r="149" customFormat="false" ht="19.5" hidden="false" customHeight="true" outlineLevel="0" collapsed="false">
      <c r="A149" s="7"/>
      <c r="B149" s="7"/>
      <c r="C149" s="7"/>
      <c r="D149" s="26"/>
      <c r="E149" s="7"/>
      <c r="F149" s="7"/>
    </row>
    <row r="150" customFormat="false" ht="19.5" hidden="false" customHeight="true" outlineLevel="0" collapsed="false">
      <c r="A150" s="27"/>
      <c r="B150" s="27"/>
      <c r="C150" s="27"/>
      <c r="D150" s="28"/>
      <c r="E150" s="27"/>
      <c r="F150" s="27"/>
    </row>
    <row r="151" customFormat="false" ht="19.5" hidden="false" customHeight="true" outlineLevel="0" collapsed="false">
      <c r="A151" s="7"/>
      <c r="B151" s="7"/>
      <c r="C151" s="7"/>
      <c r="D151" s="26"/>
      <c r="E151" s="7"/>
      <c r="F151" s="7"/>
    </row>
    <row r="152" customFormat="false" ht="19.5" hidden="false" customHeight="true" outlineLevel="0" collapsed="false">
      <c r="A152" s="27"/>
      <c r="B152" s="27"/>
      <c r="C152" s="27"/>
      <c r="D152" s="28"/>
      <c r="E152" s="27"/>
      <c r="F152" s="27"/>
    </row>
    <row r="153" customFormat="false" ht="19.5" hidden="false" customHeight="true" outlineLevel="0" collapsed="false">
      <c r="A153" s="7"/>
      <c r="B153" s="7"/>
      <c r="C153" s="7"/>
      <c r="D153" s="26"/>
      <c r="E153" s="7"/>
      <c r="F153" s="7"/>
    </row>
    <row r="154" customFormat="false" ht="19.5" hidden="false" customHeight="true" outlineLevel="0" collapsed="false">
      <c r="A154" s="27"/>
      <c r="B154" s="27"/>
      <c r="C154" s="27"/>
      <c r="D154" s="28"/>
      <c r="E154" s="27"/>
      <c r="F154" s="27"/>
    </row>
    <row r="155" customFormat="false" ht="19.5" hidden="false" customHeight="true" outlineLevel="0" collapsed="false">
      <c r="A155" s="7"/>
      <c r="B155" s="7"/>
      <c r="C155" s="7"/>
      <c r="D155" s="26"/>
      <c r="E155" s="7"/>
      <c r="F155" s="7"/>
    </row>
    <row r="156" customFormat="false" ht="19.5" hidden="false" customHeight="true" outlineLevel="0" collapsed="false">
      <c r="A156" s="27"/>
      <c r="B156" s="27"/>
      <c r="C156" s="27"/>
      <c r="D156" s="28"/>
      <c r="E156" s="27"/>
      <c r="F156" s="27"/>
    </row>
    <row r="157" customFormat="false" ht="19.5" hidden="false" customHeight="true" outlineLevel="0" collapsed="false">
      <c r="A157" s="7"/>
      <c r="B157" s="7"/>
      <c r="C157" s="7"/>
      <c r="D157" s="26"/>
      <c r="E157" s="7"/>
      <c r="F157" s="7"/>
    </row>
    <row r="158" customFormat="false" ht="19.5" hidden="false" customHeight="true" outlineLevel="0" collapsed="false">
      <c r="A158" s="27"/>
      <c r="B158" s="27"/>
      <c r="C158" s="27"/>
      <c r="D158" s="28"/>
      <c r="E158" s="27"/>
      <c r="F158" s="27"/>
    </row>
    <row r="159" customFormat="false" ht="19.5" hidden="false" customHeight="true" outlineLevel="0" collapsed="false">
      <c r="A159" s="7"/>
      <c r="B159" s="7"/>
      <c r="C159" s="7"/>
      <c r="D159" s="26"/>
      <c r="E159" s="7"/>
      <c r="F159" s="7"/>
    </row>
    <row r="160" customFormat="false" ht="19.5" hidden="false" customHeight="true" outlineLevel="0" collapsed="false">
      <c r="A160" s="27"/>
      <c r="B160" s="27"/>
      <c r="C160" s="27"/>
      <c r="D160" s="28"/>
      <c r="E160" s="27"/>
      <c r="F160" s="27"/>
    </row>
    <row r="161" customFormat="false" ht="19.5" hidden="false" customHeight="true" outlineLevel="0" collapsed="false">
      <c r="A161" s="7"/>
      <c r="B161" s="7"/>
      <c r="C161" s="7"/>
      <c r="D161" s="26"/>
      <c r="E161" s="7"/>
      <c r="F161" s="7"/>
    </row>
    <row r="162" customFormat="false" ht="19.5" hidden="false" customHeight="true" outlineLevel="0" collapsed="false">
      <c r="A162" s="27"/>
      <c r="B162" s="27"/>
      <c r="C162" s="27"/>
      <c r="D162" s="28"/>
      <c r="E162" s="27"/>
      <c r="F162" s="27"/>
    </row>
    <row r="163" customFormat="false" ht="19.5" hidden="false" customHeight="true" outlineLevel="0" collapsed="false">
      <c r="A163" s="7"/>
      <c r="B163" s="7"/>
      <c r="C163" s="7"/>
      <c r="D163" s="26"/>
      <c r="E163" s="7"/>
      <c r="F163" s="7"/>
    </row>
    <row r="164" customFormat="false" ht="19.5" hidden="false" customHeight="true" outlineLevel="0" collapsed="false">
      <c r="A164" s="27"/>
      <c r="B164" s="27"/>
      <c r="C164" s="27"/>
      <c r="D164" s="28"/>
      <c r="E164" s="27"/>
      <c r="F164" s="27"/>
    </row>
    <row r="165" customFormat="false" ht="19.5" hidden="false" customHeight="true" outlineLevel="0" collapsed="false">
      <c r="A165" s="7"/>
      <c r="B165" s="7"/>
      <c r="C165" s="7"/>
      <c r="D165" s="26"/>
      <c r="E165" s="7"/>
      <c r="F165" s="7"/>
    </row>
    <row r="166" customFormat="false" ht="19.5" hidden="false" customHeight="true" outlineLevel="0" collapsed="false">
      <c r="A166" s="27"/>
      <c r="B166" s="27"/>
      <c r="C166" s="27"/>
      <c r="D166" s="28"/>
      <c r="E166" s="27"/>
      <c r="F166" s="27"/>
    </row>
    <row r="167" customFormat="false" ht="19.5" hidden="false" customHeight="true" outlineLevel="0" collapsed="false">
      <c r="A167" s="7"/>
      <c r="B167" s="7"/>
      <c r="C167" s="7"/>
      <c r="D167" s="26"/>
      <c r="E167" s="7"/>
      <c r="F167" s="7"/>
    </row>
    <row r="168" customFormat="false" ht="19.5" hidden="false" customHeight="true" outlineLevel="0" collapsed="false">
      <c r="A168" s="27"/>
      <c r="B168" s="27"/>
      <c r="C168" s="27"/>
      <c r="D168" s="28"/>
      <c r="E168" s="27"/>
      <c r="F168" s="27"/>
    </row>
    <row r="169" customFormat="false" ht="19.5" hidden="false" customHeight="true" outlineLevel="0" collapsed="false">
      <c r="A169" s="7"/>
      <c r="B169" s="7"/>
      <c r="C169" s="7"/>
      <c r="D169" s="26"/>
      <c r="E169" s="7"/>
      <c r="F169" s="7"/>
    </row>
    <row r="170" customFormat="false" ht="19.5" hidden="false" customHeight="true" outlineLevel="0" collapsed="false">
      <c r="A170" s="27"/>
      <c r="B170" s="27"/>
      <c r="C170" s="27"/>
      <c r="D170" s="28"/>
      <c r="E170" s="27"/>
      <c r="F170" s="27"/>
    </row>
    <row r="171" customFormat="false" ht="19.5" hidden="false" customHeight="true" outlineLevel="0" collapsed="false">
      <c r="A171" s="7"/>
      <c r="B171" s="7"/>
      <c r="C171" s="7"/>
      <c r="D171" s="26"/>
      <c r="E171" s="7"/>
      <c r="F171" s="7"/>
    </row>
    <row r="172" customFormat="false" ht="19.5" hidden="false" customHeight="true" outlineLevel="0" collapsed="false">
      <c r="A172" s="27"/>
      <c r="B172" s="27"/>
      <c r="C172" s="27"/>
      <c r="D172" s="28"/>
      <c r="E172" s="27"/>
      <c r="F172" s="27"/>
    </row>
    <row r="173" customFormat="false" ht="19.5" hidden="false" customHeight="true" outlineLevel="0" collapsed="false">
      <c r="A173" s="7"/>
      <c r="B173" s="7"/>
      <c r="C173" s="7"/>
      <c r="D173" s="26"/>
      <c r="E173" s="7"/>
      <c r="F173" s="7"/>
    </row>
    <row r="174" customFormat="false" ht="19.5" hidden="false" customHeight="true" outlineLevel="0" collapsed="false">
      <c r="A174" s="27"/>
      <c r="B174" s="27"/>
      <c r="C174" s="27"/>
      <c r="D174" s="28"/>
      <c r="E174" s="27"/>
      <c r="F174" s="27"/>
    </row>
    <row r="175" customFormat="false" ht="19.5" hidden="false" customHeight="true" outlineLevel="0" collapsed="false">
      <c r="A175" s="7"/>
      <c r="B175" s="7"/>
      <c r="C175" s="7"/>
      <c r="D175" s="26"/>
      <c r="E175" s="7"/>
      <c r="F175" s="7"/>
    </row>
    <row r="176" customFormat="false" ht="19.5" hidden="false" customHeight="true" outlineLevel="0" collapsed="false">
      <c r="A176" s="27"/>
      <c r="B176" s="27"/>
      <c r="C176" s="27"/>
      <c r="D176" s="28"/>
      <c r="E176" s="27"/>
      <c r="F176" s="27"/>
    </row>
    <row r="177" customFormat="false" ht="19.5" hidden="false" customHeight="true" outlineLevel="0" collapsed="false">
      <c r="A177" s="7"/>
      <c r="B177" s="7"/>
      <c r="C177" s="7"/>
      <c r="D177" s="26"/>
      <c r="E177" s="7"/>
      <c r="F177" s="7"/>
    </row>
    <row r="178" customFormat="false" ht="19.5" hidden="false" customHeight="true" outlineLevel="0" collapsed="false">
      <c r="A178" s="27"/>
      <c r="B178" s="27"/>
      <c r="C178" s="27"/>
      <c r="D178" s="28"/>
      <c r="E178" s="27"/>
      <c r="F178" s="27"/>
    </row>
    <row r="179" customFormat="false" ht="19.5" hidden="false" customHeight="true" outlineLevel="0" collapsed="false">
      <c r="A179" s="7"/>
      <c r="B179" s="7"/>
      <c r="C179" s="7"/>
      <c r="D179" s="26"/>
      <c r="E179" s="7"/>
      <c r="F179" s="7"/>
    </row>
    <row r="180" customFormat="false" ht="19.5" hidden="false" customHeight="true" outlineLevel="0" collapsed="false">
      <c r="A180" s="27"/>
      <c r="B180" s="27"/>
      <c r="C180" s="27"/>
      <c r="D180" s="28"/>
      <c r="E180" s="27"/>
      <c r="F180" s="27"/>
    </row>
    <row r="181" customFormat="false" ht="19.5" hidden="false" customHeight="true" outlineLevel="0" collapsed="false">
      <c r="A181" s="7"/>
      <c r="B181" s="7"/>
      <c r="C181" s="7"/>
      <c r="D181" s="26"/>
      <c r="E181" s="7"/>
      <c r="F181" s="7"/>
    </row>
    <row r="182" customFormat="false" ht="19.5" hidden="false" customHeight="true" outlineLevel="0" collapsed="false">
      <c r="A182" s="27"/>
      <c r="B182" s="27"/>
      <c r="C182" s="27"/>
      <c r="D182" s="28"/>
      <c r="E182" s="27"/>
      <c r="F182" s="27"/>
    </row>
    <row r="183" customFormat="false" ht="19.5" hidden="false" customHeight="true" outlineLevel="0" collapsed="false">
      <c r="A183" s="7"/>
      <c r="B183" s="7"/>
      <c r="C183" s="7"/>
      <c r="D183" s="26"/>
      <c r="E183" s="7"/>
      <c r="F183" s="7"/>
    </row>
    <row r="184" customFormat="false" ht="19.5" hidden="false" customHeight="true" outlineLevel="0" collapsed="false">
      <c r="A184" s="27"/>
      <c r="B184" s="27"/>
      <c r="C184" s="27"/>
      <c r="D184" s="28"/>
      <c r="E184" s="27"/>
      <c r="F184" s="27"/>
    </row>
    <row r="185" customFormat="false" ht="19.5" hidden="false" customHeight="true" outlineLevel="0" collapsed="false">
      <c r="A185" s="7"/>
      <c r="B185" s="7"/>
      <c r="C185" s="7"/>
      <c r="D185" s="26"/>
      <c r="E185" s="7"/>
      <c r="F185" s="7"/>
    </row>
    <row r="186" customFormat="false" ht="19.5" hidden="false" customHeight="true" outlineLevel="0" collapsed="false">
      <c r="A186" s="27"/>
      <c r="B186" s="27"/>
      <c r="C186" s="27"/>
      <c r="D186" s="28"/>
      <c r="E186" s="27"/>
      <c r="F186" s="27"/>
    </row>
    <row r="187" customFormat="false" ht="19.5" hidden="false" customHeight="true" outlineLevel="0" collapsed="false">
      <c r="A187" s="7"/>
      <c r="B187" s="7"/>
      <c r="C187" s="7"/>
      <c r="D187" s="26"/>
      <c r="E187" s="7"/>
      <c r="F187" s="7"/>
    </row>
    <row r="188" customFormat="false" ht="19.5" hidden="false" customHeight="true" outlineLevel="0" collapsed="false">
      <c r="A188" s="27"/>
      <c r="B188" s="27"/>
      <c r="C188" s="27"/>
      <c r="D188" s="28"/>
      <c r="E188" s="27"/>
      <c r="F188" s="27"/>
    </row>
    <row r="189" customFormat="false" ht="19.5" hidden="false" customHeight="true" outlineLevel="0" collapsed="false">
      <c r="A189" s="7"/>
      <c r="B189" s="7"/>
      <c r="C189" s="7"/>
      <c r="D189" s="26"/>
      <c r="E189" s="7"/>
      <c r="F189" s="7"/>
    </row>
    <row r="190" customFormat="false" ht="19.5" hidden="false" customHeight="true" outlineLevel="0" collapsed="false">
      <c r="A190" s="27"/>
      <c r="B190" s="27"/>
      <c r="C190" s="27"/>
      <c r="D190" s="28"/>
      <c r="E190" s="27"/>
      <c r="F190" s="27"/>
    </row>
    <row r="191" customFormat="false" ht="19.5" hidden="false" customHeight="true" outlineLevel="0" collapsed="false">
      <c r="A191" s="7"/>
      <c r="B191" s="7"/>
      <c r="C191" s="7"/>
      <c r="D191" s="26"/>
      <c r="E191" s="7"/>
      <c r="F191" s="7"/>
    </row>
    <row r="192" customFormat="false" ht="19.5" hidden="false" customHeight="true" outlineLevel="0" collapsed="false">
      <c r="A192" s="27"/>
      <c r="B192" s="27"/>
      <c r="C192" s="27"/>
      <c r="D192" s="28"/>
      <c r="E192" s="27"/>
      <c r="F192" s="27"/>
    </row>
    <row r="193" customFormat="false" ht="19.5" hidden="false" customHeight="true" outlineLevel="0" collapsed="false">
      <c r="A193" s="7"/>
      <c r="B193" s="7"/>
      <c r="C193" s="7"/>
      <c r="D193" s="26"/>
      <c r="E193" s="7"/>
      <c r="F193" s="7"/>
    </row>
    <row r="194" customFormat="false" ht="19.5" hidden="false" customHeight="true" outlineLevel="0" collapsed="false">
      <c r="A194" s="27"/>
      <c r="B194" s="27"/>
      <c r="C194" s="27"/>
      <c r="D194" s="28"/>
      <c r="E194" s="27"/>
      <c r="F194" s="27"/>
    </row>
    <row r="195" customFormat="false" ht="19.5" hidden="false" customHeight="true" outlineLevel="0" collapsed="false">
      <c r="A195" s="7"/>
      <c r="B195" s="7"/>
      <c r="C195" s="7"/>
      <c r="D195" s="26"/>
      <c r="E195" s="7"/>
      <c r="F195" s="7"/>
    </row>
    <row r="196" customFormat="false" ht="19.5" hidden="false" customHeight="true" outlineLevel="0" collapsed="false">
      <c r="A196" s="27"/>
      <c r="B196" s="27"/>
      <c r="C196" s="27"/>
      <c r="D196" s="28"/>
      <c r="E196" s="27"/>
      <c r="F196" s="27"/>
    </row>
    <row r="197" customFormat="false" ht="19.5" hidden="false" customHeight="true" outlineLevel="0" collapsed="false">
      <c r="A197" s="7"/>
      <c r="B197" s="7"/>
      <c r="C197" s="7"/>
      <c r="D197" s="26"/>
      <c r="E197" s="7"/>
      <c r="F197" s="7"/>
    </row>
    <row r="198" customFormat="false" ht="19.5" hidden="false" customHeight="true" outlineLevel="0" collapsed="false">
      <c r="A198" s="27"/>
      <c r="B198" s="27"/>
      <c r="C198" s="27"/>
      <c r="D198" s="28"/>
      <c r="E198" s="27"/>
      <c r="F198" s="27"/>
    </row>
    <row r="199" customFormat="false" ht="19.5" hidden="false" customHeight="true" outlineLevel="0" collapsed="false">
      <c r="A199" s="7"/>
      <c r="B199" s="7"/>
      <c r="C199" s="7"/>
      <c r="D199" s="26"/>
      <c r="E199" s="7"/>
      <c r="F199" s="7"/>
    </row>
    <row r="200" customFormat="false" ht="19.5" hidden="false" customHeight="true" outlineLevel="0" collapsed="false">
      <c r="A200" s="27"/>
      <c r="B200" s="27"/>
      <c r="C200" s="27"/>
      <c r="D200" s="28"/>
      <c r="E200" s="27"/>
      <c r="F200" s="27"/>
    </row>
  </sheetData>
  <mergeCells count="6">
    <mergeCell ref="A1:F1"/>
    <mergeCell ref="A2:E2"/>
    <mergeCell ref="A3:E3"/>
    <mergeCell ref="A4:E4"/>
    <mergeCell ref="A5:E5"/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20"/>
  </cols>
  <sheetData>
    <row r="1" customFormat="false" ht="36" hidden="false" customHeight="true" outlineLevel="0" collapsed="false">
      <c r="A1" s="2" t="s">
        <v>56</v>
      </c>
      <c r="B1" s="2"/>
      <c r="C1" s="2"/>
      <c r="D1" s="2"/>
      <c r="E1" s="2"/>
    </row>
    <row r="2" customFormat="false" ht="24" hidden="false" customHeight="true" outlineLevel="0" collapsed="false">
      <c r="A2" s="38" t="s">
        <v>57</v>
      </c>
      <c r="B2" s="39" t="n">
        <f aca="false">'📊 Resumen'!B6</f>
        <v>63000000</v>
      </c>
    </row>
    <row r="3" customFormat="false" ht="24" hidden="false" customHeight="true" outlineLevel="0" collapsed="false">
      <c r="A3" s="40" t="s">
        <v>58</v>
      </c>
      <c r="B3" s="41" t="n">
        <f aca="false">SUM(E8:E100)</f>
        <v>-1380000</v>
      </c>
    </row>
    <row r="4" customFormat="false" ht="24" hidden="false" customHeight="true" outlineLevel="0" collapsed="false">
      <c r="A4" s="42" t="s">
        <v>12</v>
      </c>
      <c r="B4" s="43" t="n">
        <f aca="false">B2-B3</f>
        <v>64380000</v>
      </c>
    </row>
    <row r="5" customFormat="false" ht="24" hidden="false" customHeight="true" outlineLevel="0" collapsed="false">
      <c r="A5" s="44" t="s">
        <v>13</v>
      </c>
      <c r="B5" s="45" t="n">
        <f aca="false">IF(B2&gt;0,B3/B2,0)</f>
        <v>-0.0219047619047619</v>
      </c>
    </row>
    <row r="6" customFormat="false" ht="9.75" hidden="false" customHeight="true" outlineLevel="0" collapsed="false"/>
    <row r="7" customFormat="false" ht="25.5" hidden="false" customHeight="true" outlineLevel="0" collapsed="false">
      <c r="A7" s="46" t="s">
        <v>59</v>
      </c>
      <c r="B7" s="46" t="s">
        <v>60</v>
      </c>
      <c r="C7" s="46" t="s">
        <v>61</v>
      </c>
      <c r="D7" s="46" t="s">
        <v>62</v>
      </c>
      <c r="E7" s="46" t="s">
        <v>63</v>
      </c>
    </row>
    <row r="8" customFormat="false" ht="21.75" hidden="false" customHeight="true" outlineLevel="0" collapsed="false">
      <c r="A8" s="27" t="s">
        <v>64</v>
      </c>
      <c r="B8" s="47" t="n">
        <v>1130000</v>
      </c>
      <c r="C8" s="47" t="n">
        <v>2510000</v>
      </c>
      <c r="D8" s="48" t="n">
        <f aca="false">B8-C8</f>
        <v>-1380000</v>
      </c>
      <c r="E8" s="48" t="n">
        <f aca="false">D8</f>
        <v>-1380000</v>
      </c>
    </row>
    <row r="9" customFormat="false" ht="21.75" hidden="false" customHeight="true" outlineLevel="0" collapsed="false">
      <c r="A9" s="27"/>
      <c r="B9" s="47"/>
      <c r="C9" s="47"/>
      <c r="D9" s="47" t="str">
        <f aca="false">IF(B9="","",B9-C9)</f>
        <v/>
      </c>
      <c r="E9" s="47" t="str">
        <f aca="false">IF(D9="","",E8+D9)</f>
        <v/>
      </c>
    </row>
    <row r="10" customFormat="false" ht="21.75" hidden="false" customHeight="true" outlineLevel="0" collapsed="false">
      <c r="A10" s="7"/>
      <c r="B10" s="17"/>
      <c r="C10" s="17"/>
      <c r="D10" s="17" t="str">
        <f aca="false">IF(B10="","",B10-C10)</f>
        <v/>
      </c>
      <c r="E10" s="17" t="str">
        <f aca="false">IF(D10="","",E9+D10)</f>
        <v/>
      </c>
    </row>
    <row r="11" customFormat="false" ht="21.75" hidden="false" customHeight="true" outlineLevel="0" collapsed="false">
      <c r="A11" s="27"/>
      <c r="B11" s="47"/>
      <c r="C11" s="47"/>
      <c r="D11" s="47" t="str">
        <f aca="false">IF(B11="","",B11-C11)</f>
        <v/>
      </c>
      <c r="E11" s="47" t="str">
        <f aca="false">IF(D11="","",E10+D11)</f>
        <v/>
      </c>
    </row>
    <row r="12" customFormat="false" ht="21.75" hidden="false" customHeight="true" outlineLevel="0" collapsed="false">
      <c r="A12" s="7"/>
      <c r="B12" s="17"/>
      <c r="C12" s="17"/>
      <c r="D12" s="17" t="str">
        <f aca="false">IF(B12="","",B12-C12)</f>
        <v/>
      </c>
      <c r="E12" s="17" t="str">
        <f aca="false">IF(D12="","",E11+D12)</f>
        <v/>
      </c>
    </row>
    <row r="13" customFormat="false" ht="21.75" hidden="false" customHeight="true" outlineLevel="0" collapsed="false">
      <c r="A13" s="27"/>
      <c r="B13" s="47"/>
      <c r="C13" s="47"/>
      <c r="D13" s="47" t="str">
        <f aca="false">IF(B13="","",B13-C13)</f>
        <v/>
      </c>
      <c r="E13" s="47" t="str">
        <f aca="false">IF(D13="","",E12+D13)</f>
        <v/>
      </c>
    </row>
    <row r="14" customFormat="false" ht="21.75" hidden="false" customHeight="true" outlineLevel="0" collapsed="false">
      <c r="A14" s="7"/>
      <c r="B14" s="17"/>
      <c r="C14" s="17"/>
      <c r="D14" s="17" t="str">
        <f aca="false">IF(B14="","",B14-C14)</f>
        <v/>
      </c>
      <c r="E14" s="17" t="str">
        <f aca="false">IF(D14="","",E13+D14)</f>
        <v/>
      </c>
    </row>
    <row r="15" customFormat="false" ht="21.75" hidden="false" customHeight="true" outlineLevel="0" collapsed="false">
      <c r="A15" s="27"/>
      <c r="B15" s="47"/>
      <c r="C15" s="47"/>
      <c r="D15" s="47" t="str">
        <f aca="false">IF(B15="","",B15-C15)</f>
        <v/>
      </c>
      <c r="E15" s="47" t="str">
        <f aca="false">IF(D15="","",E14+D15)</f>
        <v/>
      </c>
    </row>
    <row r="16" customFormat="false" ht="21.75" hidden="false" customHeight="true" outlineLevel="0" collapsed="false">
      <c r="A16" s="7"/>
      <c r="B16" s="17"/>
      <c r="C16" s="17"/>
      <c r="D16" s="17" t="str">
        <f aca="false">IF(B16="","",B16-C16)</f>
        <v/>
      </c>
      <c r="E16" s="17" t="str">
        <f aca="false">IF(D16="","",E15+D16)</f>
        <v/>
      </c>
    </row>
    <row r="17" customFormat="false" ht="21.75" hidden="false" customHeight="true" outlineLevel="0" collapsed="false">
      <c r="A17" s="27"/>
      <c r="B17" s="47"/>
      <c r="C17" s="47"/>
      <c r="D17" s="47" t="str">
        <f aca="false">IF(B17="","",B17-C17)</f>
        <v/>
      </c>
      <c r="E17" s="47" t="str">
        <f aca="false">IF(D17="","",E16+D17)</f>
        <v/>
      </c>
    </row>
    <row r="18" customFormat="false" ht="21.75" hidden="false" customHeight="true" outlineLevel="0" collapsed="false">
      <c r="A18" s="7"/>
      <c r="B18" s="17"/>
      <c r="C18" s="17"/>
      <c r="D18" s="17" t="str">
        <f aca="false">IF(B18="","",B18-C18)</f>
        <v/>
      </c>
      <c r="E18" s="17" t="str">
        <f aca="false">IF(D18="","",E17+D18)</f>
        <v/>
      </c>
    </row>
    <row r="19" customFormat="false" ht="21.75" hidden="false" customHeight="true" outlineLevel="0" collapsed="false">
      <c r="A19" s="27"/>
      <c r="B19" s="47"/>
      <c r="C19" s="47"/>
      <c r="D19" s="47" t="str">
        <f aca="false">IF(B19="","",B19-C19)</f>
        <v/>
      </c>
      <c r="E19" s="47" t="str">
        <f aca="false">IF(D19="","",E18+D19)</f>
        <v/>
      </c>
    </row>
    <row r="20" customFormat="false" ht="21.75" hidden="false" customHeight="true" outlineLevel="0" collapsed="false">
      <c r="A20" s="7"/>
      <c r="B20" s="17"/>
      <c r="C20" s="17"/>
      <c r="D20" s="17" t="str">
        <f aca="false">IF(B20="","",B20-C20)</f>
        <v/>
      </c>
      <c r="E20" s="17" t="str">
        <f aca="false">IF(D20="","",E19+D20)</f>
        <v/>
      </c>
    </row>
    <row r="21" customFormat="false" ht="21.75" hidden="false" customHeight="true" outlineLevel="0" collapsed="false">
      <c r="A21" s="27"/>
      <c r="B21" s="47"/>
      <c r="C21" s="47"/>
      <c r="D21" s="47" t="str">
        <f aca="false">IF(B21="","",B21-C21)</f>
        <v/>
      </c>
      <c r="E21" s="47" t="str">
        <f aca="false">IF(D21="","",E20+D21)</f>
        <v/>
      </c>
    </row>
    <row r="22" customFormat="false" ht="21.75" hidden="false" customHeight="true" outlineLevel="0" collapsed="false">
      <c r="A22" s="7"/>
      <c r="B22" s="17"/>
      <c r="C22" s="17"/>
      <c r="D22" s="17" t="str">
        <f aca="false">IF(B22="","",B22-C22)</f>
        <v/>
      </c>
      <c r="E22" s="17" t="str">
        <f aca="false">IF(D22="","",E21+D22)</f>
        <v/>
      </c>
    </row>
    <row r="23" customFormat="false" ht="21.75" hidden="false" customHeight="true" outlineLevel="0" collapsed="false">
      <c r="A23" s="27"/>
      <c r="B23" s="47"/>
      <c r="C23" s="47"/>
      <c r="D23" s="47" t="str">
        <f aca="false">IF(B23="","",B23-C23)</f>
        <v/>
      </c>
      <c r="E23" s="47" t="str">
        <f aca="false">IF(D23="","",E22+D23)</f>
        <v/>
      </c>
    </row>
    <row r="24" customFormat="false" ht="21.75" hidden="false" customHeight="true" outlineLevel="0" collapsed="false">
      <c r="A24" s="7"/>
      <c r="B24" s="17"/>
      <c r="C24" s="17"/>
      <c r="D24" s="17" t="str">
        <f aca="false">IF(B24="","",B24-C24)</f>
        <v/>
      </c>
      <c r="E24" s="17" t="str">
        <f aca="false">IF(D24="","",E23+D24)</f>
        <v/>
      </c>
    </row>
    <row r="25" customFormat="false" ht="21.75" hidden="false" customHeight="true" outlineLevel="0" collapsed="false">
      <c r="A25" s="27"/>
      <c r="B25" s="47"/>
      <c r="C25" s="47"/>
      <c r="D25" s="47" t="str">
        <f aca="false">IF(B25="","",B25-C25)</f>
        <v/>
      </c>
      <c r="E25" s="47" t="str">
        <f aca="false">IF(D25="","",E24+D25)</f>
        <v/>
      </c>
    </row>
    <row r="26" customFormat="false" ht="21.75" hidden="false" customHeight="true" outlineLevel="0" collapsed="false">
      <c r="A26" s="7"/>
      <c r="B26" s="17"/>
      <c r="C26" s="17"/>
      <c r="D26" s="17" t="str">
        <f aca="false">IF(B26="","",B26-C26)</f>
        <v/>
      </c>
      <c r="E26" s="17" t="str">
        <f aca="false">IF(D26="","",E25+D26)</f>
        <v/>
      </c>
    </row>
    <row r="27" customFormat="false" ht="21.75" hidden="false" customHeight="true" outlineLevel="0" collapsed="false">
      <c r="A27" s="27"/>
      <c r="B27" s="47"/>
      <c r="C27" s="47"/>
      <c r="D27" s="47" t="str">
        <f aca="false">IF(B27="","",B27-C27)</f>
        <v/>
      </c>
      <c r="E27" s="47" t="str">
        <f aca="false">IF(D27="","",E26+D27)</f>
        <v/>
      </c>
    </row>
    <row r="28" customFormat="false" ht="21.75" hidden="false" customHeight="true" outlineLevel="0" collapsed="false">
      <c r="A28" s="7"/>
      <c r="B28" s="17"/>
      <c r="C28" s="17"/>
      <c r="D28" s="17" t="str">
        <f aca="false">IF(B28="","",B28-C28)</f>
        <v/>
      </c>
      <c r="E28" s="17" t="str">
        <f aca="false">IF(D28="","",E27+D28)</f>
        <v/>
      </c>
    </row>
    <row r="29" customFormat="false" ht="21.75" hidden="false" customHeight="true" outlineLevel="0" collapsed="false">
      <c r="A29" s="27"/>
      <c r="B29" s="47"/>
      <c r="C29" s="47"/>
      <c r="D29" s="47" t="str">
        <f aca="false">IF(B29="","",B29-C29)</f>
        <v/>
      </c>
      <c r="E29" s="47" t="str">
        <f aca="false">IF(D29="","",E28+D29)</f>
        <v/>
      </c>
    </row>
    <row r="30" customFormat="false" ht="21.75" hidden="false" customHeight="true" outlineLevel="0" collapsed="false">
      <c r="A30" s="7"/>
      <c r="B30" s="17"/>
      <c r="C30" s="17"/>
      <c r="D30" s="17" t="str">
        <f aca="false">IF(B30="","",B30-C30)</f>
        <v/>
      </c>
      <c r="E30" s="17" t="str">
        <f aca="false">IF(D30="","",E29+D30)</f>
        <v/>
      </c>
    </row>
    <row r="31" customFormat="false" ht="21.75" hidden="false" customHeight="true" outlineLevel="0" collapsed="false">
      <c r="A31" s="27"/>
      <c r="B31" s="47"/>
      <c r="C31" s="47"/>
      <c r="D31" s="47" t="str">
        <f aca="false">IF(B31="","",B31-C31)</f>
        <v/>
      </c>
      <c r="E31" s="47" t="str">
        <f aca="false">IF(D31="","",E30+D31)</f>
        <v/>
      </c>
    </row>
    <row r="32" customFormat="false" ht="21.75" hidden="false" customHeight="true" outlineLevel="0" collapsed="false">
      <c r="A32" s="7"/>
      <c r="B32" s="17"/>
      <c r="C32" s="17"/>
      <c r="D32" s="17" t="str">
        <f aca="false">IF(B32="","",B32-C32)</f>
        <v/>
      </c>
      <c r="E32" s="17" t="str">
        <f aca="false">IF(D32="","",E31+D32)</f>
        <v/>
      </c>
    </row>
    <row r="33" customFormat="false" ht="21.75" hidden="false" customHeight="true" outlineLevel="0" collapsed="false">
      <c r="A33" s="27"/>
      <c r="B33" s="47"/>
      <c r="C33" s="47"/>
      <c r="D33" s="47" t="str">
        <f aca="false">IF(B33="","",B33-C33)</f>
        <v/>
      </c>
      <c r="E33" s="47" t="str">
        <f aca="false">IF(D33="","",E32+D33)</f>
        <v/>
      </c>
    </row>
    <row r="34" customFormat="false" ht="21.75" hidden="false" customHeight="true" outlineLevel="0" collapsed="false">
      <c r="A34" s="7"/>
      <c r="B34" s="17"/>
      <c r="C34" s="17"/>
      <c r="D34" s="17" t="str">
        <f aca="false">IF(B34="","",B34-C34)</f>
        <v/>
      </c>
      <c r="E34" s="17" t="str">
        <f aca="false">IF(D34="","",E33+D34)</f>
        <v/>
      </c>
    </row>
    <row r="35" customFormat="false" ht="21.75" hidden="false" customHeight="true" outlineLevel="0" collapsed="false">
      <c r="A35" s="27"/>
      <c r="B35" s="47"/>
      <c r="C35" s="47"/>
      <c r="D35" s="47" t="str">
        <f aca="false">IF(B35="","",B35-C35)</f>
        <v/>
      </c>
      <c r="E35" s="47" t="str">
        <f aca="false">IF(D35="","",E34+D35)</f>
        <v/>
      </c>
    </row>
    <row r="36" customFormat="false" ht="21.75" hidden="false" customHeight="true" outlineLevel="0" collapsed="false">
      <c r="A36" s="7"/>
      <c r="B36" s="17"/>
      <c r="C36" s="17"/>
      <c r="D36" s="17" t="str">
        <f aca="false">IF(B36="","",B36-C36)</f>
        <v/>
      </c>
      <c r="E36" s="17" t="str">
        <f aca="false">IF(D36="","",E35+D36)</f>
        <v/>
      </c>
    </row>
    <row r="37" customFormat="false" ht="21.75" hidden="false" customHeight="true" outlineLevel="0" collapsed="false">
      <c r="A37" s="27"/>
      <c r="B37" s="47"/>
      <c r="C37" s="47"/>
      <c r="D37" s="47" t="str">
        <f aca="false">IF(B37="","",B37-C37)</f>
        <v/>
      </c>
      <c r="E37" s="47" t="str">
        <f aca="false">IF(D37="","",E36+D37)</f>
        <v/>
      </c>
    </row>
    <row r="38" customFormat="false" ht="21.75" hidden="false" customHeight="true" outlineLevel="0" collapsed="false">
      <c r="A38" s="7"/>
      <c r="B38" s="17"/>
      <c r="C38" s="17"/>
      <c r="D38" s="17" t="str">
        <f aca="false">IF(B38="","",B38-C38)</f>
        <v/>
      </c>
      <c r="E38" s="17" t="str">
        <f aca="false">IF(D38="","",E37+D38)</f>
        <v/>
      </c>
    </row>
    <row r="39" customFormat="false" ht="21.75" hidden="false" customHeight="true" outlineLevel="0" collapsed="false">
      <c r="A39" s="27"/>
      <c r="B39" s="47"/>
      <c r="C39" s="47"/>
      <c r="D39" s="47" t="str">
        <f aca="false">IF(B39="","",B39-C39)</f>
        <v/>
      </c>
      <c r="E39" s="47" t="str">
        <f aca="false">IF(D39="","",E38+D39)</f>
        <v/>
      </c>
    </row>
    <row r="40" customFormat="false" ht="21.75" hidden="false" customHeight="true" outlineLevel="0" collapsed="false">
      <c r="A40" s="7"/>
      <c r="B40" s="17"/>
      <c r="C40" s="17"/>
      <c r="D40" s="17" t="str">
        <f aca="false">IF(B40="","",B40-C40)</f>
        <v/>
      </c>
      <c r="E40" s="17" t="str">
        <f aca="false">IF(D40="","",E39+D40)</f>
        <v/>
      </c>
    </row>
    <row r="41" customFormat="false" ht="21.75" hidden="false" customHeight="true" outlineLevel="0" collapsed="false">
      <c r="A41" s="27"/>
      <c r="B41" s="47"/>
      <c r="C41" s="47"/>
      <c r="D41" s="47" t="str">
        <f aca="false">IF(B41="","",B41-C41)</f>
        <v/>
      </c>
      <c r="E41" s="47" t="str">
        <f aca="false">IF(D41="","",E40+D41)</f>
        <v/>
      </c>
    </row>
    <row r="42" customFormat="false" ht="21.75" hidden="false" customHeight="true" outlineLevel="0" collapsed="false">
      <c r="A42" s="7"/>
      <c r="B42" s="17"/>
      <c r="C42" s="17"/>
      <c r="D42" s="17" t="str">
        <f aca="false">IF(B42="","",B42-C42)</f>
        <v/>
      </c>
      <c r="E42" s="17" t="str">
        <f aca="false">IF(D42="","",E41+D42)</f>
        <v/>
      </c>
    </row>
    <row r="43" customFormat="false" ht="21.75" hidden="false" customHeight="true" outlineLevel="0" collapsed="false">
      <c r="A43" s="27"/>
      <c r="B43" s="47"/>
      <c r="C43" s="47"/>
      <c r="D43" s="47" t="str">
        <f aca="false">IF(B43="","",B43-C43)</f>
        <v/>
      </c>
      <c r="E43" s="47" t="str">
        <f aca="false">IF(D43="","",E42+D43)</f>
        <v/>
      </c>
    </row>
    <row r="44" customFormat="false" ht="21.75" hidden="false" customHeight="true" outlineLevel="0" collapsed="false">
      <c r="A44" s="7"/>
      <c r="B44" s="17"/>
      <c r="C44" s="17"/>
      <c r="D44" s="17" t="str">
        <f aca="false">IF(B44="","",B44-C44)</f>
        <v/>
      </c>
      <c r="E44" s="17" t="str">
        <f aca="false">IF(D44="","",E43+D44)</f>
        <v/>
      </c>
    </row>
    <row r="45" customFormat="false" ht="21.75" hidden="false" customHeight="true" outlineLevel="0" collapsed="false">
      <c r="A45" s="27"/>
      <c r="B45" s="47"/>
      <c r="C45" s="47"/>
      <c r="D45" s="47" t="str">
        <f aca="false">IF(B45="","",B45-C45)</f>
        <v/>
      </c>
      <c r="E45" s="47" t="str">
        <f aca="false">IF(D45="","",E44+D45)</f>
        <v/>
      </c>
    </row>
    <row r="46" customFormat="false" ht="21.75" hidden="false" customHeight="true" outlineLevel="0" collapsed="false">
      <c r="A46" s="7"/>
      <c r="B46" s="17"/>
      <c r="C46" s="17"/>
      <c r="D46" s="17" t="str">
        <f aca="false">IF(B46="","",B46-C46)</f>
        <v/>
      </c>
      <c r="E46" s="17" t="str">
        <f aca="false">IF(D46="","",E45+D46)</f>
        <v/>
      </c>
    </row>
    <row r="47" customFormat="false" ht="21.75" hidden="false" customHeight="true" outlineLevel="0" collapsed="false">
      <c r="A47" s="27"/>
      <c r="B47" s="47"/>
      <c r="C47" s="47"/>
      <c r="D47" s="47" t="str">
        <f aca="false">IF(B47="","",B47-C47)</f>
        <v/>
      </c>
      <c r="E47" s="47" t="str">
        <f aca="false">IF(D47="","",E46+D47)</f>
        <v/>
      </c>
    </row>
    <row r="48" customFormat="false" ht="21.75" hidden="false" customHeight="true" outlineLevel="0" collapsed="false">
      <c r="A48" s="7"/>
      <c r="B48" s="17"/>
      <c r="C48" s="17"/>
      <c r="D48" s="17" t="str">
        <f aca="false">IF(B48="","",B48-C48)</f>
        <v/>
      </c>
      <c r="E48" s="17" t="str">
        <f aca="false">IF(D48="","",E47+D48)</f>
        <v/>
      </c>
    </row>
    <row r="49" customFormat="false" ht="21.75" hidden="false" customHeight="true" outlineLevel="0" collapsed="false">
      <c r="A49" s="27"/>
      <c r="B49" s="47"/>
      <c r="C49" s="47"/>
      <c r="D49" s="47" t="str">
        <f aca="false">IF(B49="","",B49-C49)</f>
        <v/>
      </c>
      <c r="E49" s="47" t="str">
        <f aca="false">IF(D49="","",E48+D49)</f>
        <v/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5"/>
  </cols>
  <sheetData>
    <row r="1" customFormat="false" ht="36" hidden="false" customHeight="true" outlineLevel="0" collapsed="false">
      <c r="A1" s="49" t="s">
        <v>65</v>
      </c>
    </row>
    <row r="2" customFormat="false" ht="27.75" hidden="false" customHeight="true" outlineLevel="0" collapsed="false">
      <c r="A2" s="50" t="s">
        <v>66</v>
      </c>
    </row>
    <row r="3" customFormat="false" ht="21.75" hidden="false" customHeight="true" outlineLevel="0" collapsed="false">
      <c r="A3" s="51" t="s">
        <v>67</v>
      </c>
    </row>
    <row r="4" customFormat="false" ht="21.75" hidden="false" customHeight="true" outlineLevel="0" collapsed="false">
      <c r="A4" s="51" t="s">
        <v>68</v>
      </c>
    </row>
    <row r="5" customFormat="false" ht="21.75" hidden="false" customHeight="true" outlineLevel="0" collapsed="false">
      <c r="A5" s="51" t="s">
        <v>69</v>
      </c>
    </row>
    <row r="6" customFormat="false" ht="21.75" hidden="false" customHeight="true" outlineLevel="0" collapsed="false">
      <c r="A6" s="51" t="s">
        <v>70</v>
      </c>
    </row>
    <row r="7" customFormat="false" ht="7.5" hidden="false" customHeight="true" outlineLevel="0" collapsed="false">
      <c r="A7" s="52"/>
    </row>
    <row r="8" customFormat="false" ht="27.75" hidden="false" customHeight="true" outlineLevel="0" collapsed="false">
      <c r="A8" s="53" t="s">
        <v>71</v>
      </c>
    </row>
    <row r="9" customFormat="false" ht="21.75" hidden="false" customHeight="true" outlineLevel="0" collapsed="false">
      <c r="A9" s="54" t="s">
        <v>72</v>
      </c>
    </row>
    <row r="10" customFormat="false" ht="21.75" hidden="false" customHeight="true" outlineLevel="0" collapsed="false">
      <c r="A10" s="54" t="s">
        <v>73</v>
      </c>
    </row>
    <row r="11" customFormat="false" ht="21.75" hidden="false" customHeight="true" outlineLevel="0" collapsed="false">
      <c r="A11" s="54" t="s">
        <v>74</v>
      </c>
    </row>
    <row r="12" customFormat="false" ht="7.5" hidden="false" customHeight="true" outlineLevel="0" collapsed="false">
      <c r="A12" s="52"/>
    </row>
    <row r="13" customFormat="false" ht="27.75" hidden="false" customHeight="true" outlineLevel="0" collapsed="false">
      <c r="A13" s="55" t="s">
        <v>75</v>
      </c>
    </row>
    <row r="14" customFormat="false" ht="21.75" hidden="false" customHeight="true" outlineLevel="0" collapsed="false">
      <c r="A14" s="56" t="s">
        <v>76</v>
      </c>
    </row>
    <row r="15" customFormat="false" ht="21.75" hidden="false" customHeight="true" outlineLevel="0" collapsed="false">
      <c r="A15" s="56" t="s">
        <v>77</v>
      </c>
    </row>
    <row r="16" customFormat="false" ht="21.75" hidden="false" customHeight="true" outlineLevel="0" collapsed="false">
      <c r="A16" s="56" t="s">
        <v>78</v>
      </c>
    </row>
    <row r="17" customFormat="false" ht="7.5" hidden="false" customHeight="true" outlineLevel="0" collapsed="false">
      <c r="A17" s="52"/>
    </row>
    <row r="18" customFormat="false" ht="27.75" hidden="false" customHeight="true" outlineLevel="0" collapsed="false">
      <c r="A18" s="50" t="s">
        <v>79</v>
      </c>
    </row>
    <row r="19" customFormat="false" ht="21.75" hidden="false" customHeight="true" outlineLevel="0" collapsed="false">
      <c r="A19" s="51" t="s">
        <v>80</v>
      </c>
    </row>
    <row r="20" customFormat="false" ht="21.75" hidden="false" customHeight="true" outlineLevel="0" collapsed="false">
      <c r="A20" s="51" t="s">
        <v>81</v>
      </c>
    </row>
    <row r="21" customFormat="false" ht="21.75" hidden="false" customHeight="true" outlineLevel="0" collapsed="false">
      <c r="A21" s="51" t="s">
        <v>82</v>
      </c>
    </row>
    <row r="22" customFormat="false" ht="21.75" hidden="false" customHeight="true" outlineLevel="0" collapsed="false">
      <c r="A22" s="51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2026-06-04T00:52:58Z</dcterms:created>
  <dc:creator>openpyxl</dc:creator>
  <dc:description/>
  <dc:language>en-US</dc:language>
  <cp:lastModifiedBy/>
  <dcterms:modified xsi:type="dcterms:W3CDTF">2026-06-04T00:59:47Z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